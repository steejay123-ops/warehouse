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arehouse project\"/>
    </mc:Choice>
  </mc:AlternateContent>
  <xr:revisionPtr revIDLastSave="0" documentId="13_ncr:1_{25273DC8-B000-490C-BA76-CCC54D372129}" xr6:coauthVersionLast="47" xr6:coauthVersionMax="47" xr10:uidLastSave="{00000000-0000-0000-0000-000000000000}"/>
  <bookViews>
    <workbookView xWindow="-120" yWindow="-120" windowWidth="29040" windowHeight="15720" tabRatio="588" activeTab="1" xr2:uid="{4D9AE9B0-4629-4BB1-9304-BBED3A90EC78}"/>
  </bookViews>
  <sheets>
    <sheet name="Settings" sheetId="27" r:id="rId1"/>
    <sheet name="Emp_info" sheetId="31" r:id="rId2"/>
    <sheet name="تیر" sheetId="41" r:id="rId3"/>
  </sheets>
  <functionGroups builtInGroupCount="19"/>
  <definedNames>
    <definedName name="\a">#N/A</definedName>
    <definedName name="\b">#REF!</definedName>
    <definedName name="\p">#REF!</definedName>
    <definedName name="\PP" localSheetId="0">#REF!</definedName>
    <definedName name="\PP">#REF!</definedName>
    <definedName name="__123Graph_A" localSheetId="0" hidden="1">#REF!</definedName>
    <definedName name="__123Graph_A" hidden="1">#REF!</definedName>
    <definedName name="__123Graph_B" localSheetId="0" hidden="1">#REF!</definedName>
    <definedName name="__123Graph_B" hidden="1">#REF!</definedName>
    <definedName name="__123Graph_BCURVE" localSheetId="0" hidden="1">#REF!</definedName>
    <definedName name="__123Graph_BCURVE" hidden="1">#REF!</definedName>
    <definedName name="__123Graph_X" localSheetId="0" hidden="1">#REF!</definedName>
    <definedName name="__123Graph_X" hidden="1">#REF!</definedName>
    <definedName name="_3._Work_done_Today">#REF!</definedName>
    <definedName name="_4gc09_" localSheetId="0" hidden="1">{#N/A,#N/A,TRUE,"arnitower";#N/A,#N/A,TRUE,"arnigarage "}</definedName>
    <definedName name="_4gc09_" hidden="1">{#N/A,#N/A,TRUE,"arnitower";#N/A,#N/A,TRUE,"arnigarage "}</definedName>
    <definedName name="_A1">#REF!</definedName>
    <definedName name="_B1">#REF!</definedName>
    <definedName name="_B10" localSheetId="0">#REF!</definedName>
    <definedName name="_B10">#REF!</definedName>
    <definedName name="_B2" localSheetId="0">#REF!</definedName>
    <definedName name="_B2">#REF!</definedName>
    <definedName name="_B3" localSheetId="0">#REF!</definedName>
    <definedName name="_B3">#REF!</definedName>
    <definedName name="_B4" localSheetId="0">#REF!</definedName>
    <definedName name="_B4">#REF!</definedName>
    <definedName name="_B5" localSheetId="0">#REF!</definedName>
    <definedName name="_B5">#REF!</definedName>
    <definedName name="_B6" localSheetId="0">#REF!</definedName>
    <definedName name="_B6">#REF!</definedName>
    <definedName name="_B7" localSheetId="0">#REF!</definedName>
    <definedName name="_B7">#REF!</definedName>
    <definedName name="_B8" localSheetId="0">#REF!</definedName>
    <definedName name="_B8">#REF!</definedName>
    <definedName name="_B9" localSheetId="0">#REF!</definedName>
    <definedName name="_B9">#REF!</definedName>
    <definedName name="_BP1" localSheetId="0">#REF!</definedName>
    <definedName name="_BP1">#REF!</definedName>
    <definedName name="_BP5" localSheetId="0">#REF!</definedName>
    <definedName name="_BP5">#REF!</definedName>
    <definedName name="_C2">#REF!</definedName>
    <definedName name="_CC1" localSheetId="0">#REF!</definedName>
    <definedName name="_CC1">#REF!</definedName>
    <definedName name="_CC5" localSheetId="0">#REF!</definedName>
    <definedName name="_CC5">#REF!</definedName>
    <definedName name="_CD1" localSheetId="0">#REF!</definedName>
    <definedName name="_CD1">#REF!</definedName>
    <definedName name="_CD5" localSheetId="0">#REF!</definedName>
    <definedName name="_CD5">#REF!</definedName>
    <definedName name="_CO1" localSheetId="0">#REF!</definedName>
    <definedName name="_CO1">#REF!</definedName>
    <definedName name="_CO5" localSheetId="0">#REF!</definedName>
    <definedName name="_CO5">#REF!</definedName>
    <definedName name="_CON1" localSheetId="0">#REF!</definedName>
    <definedName name="_CON1">#REF!</definedName>
    <definedName name="_CON5" localSheetId="0">#REF!</definedName>
    <definedName name="_CON5">#REF!</definedName>
    <definedName name="_DCI1">#REF!</definedName>
    <definedName name="_DP1" localSheetId="0">#REF!</definedName>
    <definedName name="_DP1">#REF!</definedName>
    <definedName name="_DP5" localSheetId="0">#REF!</definedName>
    <definedName name="_DP5">#REF!</definedName>
    <definedName name="_END1" localSheetId="0">#REF!</definedName>
    <definedName name="_END1">#REF!</definedName>
    <definedName name="_END2" localSheetId="0">#REF!</definedName>
    <definedName name="_END2">#REF!</definedName>
    <definedName name="_F1" localSheetId="0">#REF!</definedName>
    <definedName name="_F1">#REF!</definedName>
    <definedName name="_F5" localSheetId="0">#REF!</definedName>
    <definedName name="_F5">#REF!</definedName>
    <definedName name="_FDN1">#REF!</definedName>
    <definedName name="_FDN2">#REF!</definedName>
    <definedName name="_Fill" localSheetId="0" hidden="1">#REF!</definedName>
    <definedName name="_Fill" hidden="1">#REF!</definedName>
    <definedName name="_xlnm._FilterDatabase" localSheetId="1" hidden="1">Emp_info!$B$3:$AP$49</definedName>
    <definedName name="_xlnm._FilterDatabase" localSheetId="2" hidden="1">تیر!$B$6:$BA$41</definedName>
    <definedName name="_H1" localSheetId="0">#REF!</definedName>
    <definedName name="_H1">#REF!</definedName>
    <definedName name="_H5" localSheetId="0">#REF!</definedName>
    <definedName name="_H5">#REF!</definedName>
    <definedName name="_Hew1">#REF!</definedName>
    <definedName name="_Hos1">#REF!</definedName>
    <definedName name="_Hsb1">#REF!</definedName>
    <definedName name="_Hsb2">#REF!</definedName>
    <definedName name="_HSB3">#REF!</definedName>
    <definedName name="_Hsb4">#REF!</definedName>
    <definedName name="_HSB5">#REF!</definedName>
    <definedName name="_hsb6">#REF!</definedName>
    <definedName name="_hsb7">#REF!</definedName>
    <definedName name="_hsb8">#REF!</definedName>
    <definedName name="_Hsp1">#REF!</definedName>
    <definedName name="_Hsp2">#REF!</definedName>
    <definedName name="_Hwb1">#REF!</definedName>
    <definedName name="_Hwb2">#REF!</definedName>
    <definedName name="_HWB3">#REF!</definedName>
    <definedName name="_Hwb4">#REF!</definedName>
    <definedName name="_hwb5">#REF!</definedName>
    <definedName name="_hwb6">#REF!</definedName>
    <definedName name="_hwb7">#REF!</definedName>
    <definedName name="_hwb8">#REF!</definedName>
    <definedName name="_I1" localSheetId="0">#REF!</definedName>
    <definedName name="_I1">#REF!</definedName>
    <definedName name="_I5" localSheetId="0">#REF!</definedName>
    <definedName name="_I5">#REF!</definedName>
    <definedName name="_Key1" hidden="1">#REF!</definedName>
    <definedName name="_Key2" hidden="1">#REF!</definedName>
    <definedName name="_L1" localSheetId="0">#REF!</definedName>
    <definedName name="_L1">#REF!</definedName>
    <definedName name="_L5" localSheetId="0">#REF!</definedName>
    <definedName name="_L5">#REF!</definedName>
    <definedName name="_M1" localSheetId="0">#REF!</definedName>
    <definedName name="_M1">#REF!</definedName>
    <definedName name="_M5" localSheetId="0">#REF!</definedName>
    <definedName name="_M5">#REF!</definedName>
    <definedName name="_Mew1">#REF!</definedName>
    <definedName name="_Mey1">#REF!</definedName>
    <definedName name="_Mos1">#REF!</definedName>
    <definedName name="_Msb1">#REF!</definedName>
    <definedName name="_Msb2">#REF!</definedName>
    <definedName name="_MSB3">#REF!</definedName>
    <definedName name="_Msb4">#REF!</definedName>
    <definedName name="_msb5">#REF!</definedName>
    <definedName name="_msb6">#REF!</definedName>
    <definedName name="_msb7">#REF!</definedName>
    <definedName name="_msb8">#REF!</definedName>
    <definedName name="_Mwb1">#REF!</definedName>
    <definedName name="_Mwb2">#REF!</definedName>
    <definedName name="_MWB3">#REF!</definedName>
    <definedName name="_Mwb4">#REF!</definedName>
    <definedName name="_mwb5">#REF!</definedName>
    <definedName name="_mwb6">#REF!</definedName>
    <definedName name="_mwb7">#REF!</definedName>
    <definedName name="_mwb8">#REF!</definedName>
    <definedName name="_NEW1" localSheetId="0">ROUND(Settings!_NEW1*0.0254,3)</definedName>
    <definedName name="_NEW1">ROUND(Settings!_NEW1*0.0254,3)</definedName>
    <definedName name="_NOC1" localSheetId="0">#REF!</definedName>
    <definedName name="_NOC1">#REF!</definedName>
    <definedName name="_NOC5" localSheetId="0">#REF!</definedName>
    <definedName name="_NOC5">#REF!</definedName>
    <definedName name="_Order1" hidden="1">255</definedName>
    <definedName name="_Order2" hidden="1">255</definedName>
    <definedName name="_OUT1" localSheetId="0">#REF!</definedName>
    <definedName name="_OUT1">#REF!</definedName>
    <definedName name="_OUT4" localSheetId="0">#REF!</definedName>
    <definedName name="_OUT4">#REF!</definedName>
    <definedName name="_OUT5" localSheetId="0">#REF!</definedName>
    <definedName name="_OUT5">#REF!</definedName>
    <definedName name="_Parse_In" localSheetId="0" hidden="1">#REF!</definedName>
    <definedName name="_Parse_In" hidden="1">#REF!</definedName>
    <definedName name="_ped1">#REF!</definedName>
    <definedName name="_ped2">#REF!</definedName>
    <definedName name="_ped3">#REF!</definedName>
    <definedName name="_ped4">#REF!</definedName>
    <definedName name="_ped6">#REF!</definedName>
    <definedName name="_ped7">#REF!</definedName>
    <definedName name="_PL02" localSheetId="0">#REF!</definedName>
    <definedName name="_PL02">#REF!</definedName>
    <definedName name="_PRN5" localSheetId="0">#REF!</definedName>
    <definedName name="_PRN5">#REF!</definedName>
    <definedName name="_PW1" localSheetId="0">#REF!</definedName>
    <definedName name="_PW1">#REF!</definedName>
    <definedName name="_PW5" localSheetId="0">#REF!</definedName>
    <definedName name="_PW5">#REF!</definedName>
    <definedName name="_REW1">#REF!</definedName>
    <definedName name="_REW2">#REF!</definedName>
    <definedName name="_RI1" localSheetId="0">#REF!</definedName>
    <definedName name="_RI1">#REF!</definedName>
    <definedName name="_RI5" localSheetId="0">#REF!</definedName>
    <definedName name="_RI5">#REF!</definedName>
    <definedName name="_ROS1">#REF!</definedName>
    <definedName name="_ROS2">#REF!</definedName>
    <definedName name="_ROW1">#REF!</definedName>
    <definedName name="_ROW2">#REF!</definedName>
    <definedName name="_RTW1">#REF!</definedName>
    <definedName name="_RTW2">#REF!</definedName>
    <definedName name="_S1" localSheetId="0">#REF!</definedName>
    <definedName name="_S1">#REF!</definedName>
    <definedName name="_S5" localSheetId="0">#REF!</definedName>
    <definedName name="_S5">#REF!</definedName>
    <definedName name="_SI1" localSheetId="0">#REF!</definedName>
    <definedName name="_SI1">#REF!</definedName>
    <definedName name="_SI5" localSheetId="0">#REF!</definedName>
    <definedName name="_SI5">#REF!</definedName>
    <definedName name="_Sort" hidden="1">#REF!</definedName>
    <definedName name="_T1" localSheetId="0">#REF!</definedName>
    <definedName name="_T1">#REF!</definedName>
    <definedName name="_T5" localSheetId="0">#REF!</definedName>
    <definedName name="_T5">#REF!</definedName>
    <definedName name="_TB1">#REF!</definedName>
    <definedName name="_TV1" localSheetId="0">#REF!</definedName>
    <definedName name="_TV1">#REF!</definedName>
    <definedName name="_TV5" localSheetId="0">#REF!</definedName>
    <definedName name="_TV5">#REF!</definedName>
    <definedName name="_V1" localSheetId="0">#REF!</definedName>
    <definedName name="_V1">#REF!</definedName>
    <definedName name="_V5" localSheetId="0">#REF!</definedName>
    <definedName name="_V5">#REF!</definedName>
    <definedName name="_Vew1">#REF!</definedName>
    <definedName name="_Vos1">#REF!</definedName>
    <definedName name="_Vu1" localSheetId="0">#REF!</definedName>
    <definedName name="_Vu1">#REF!</definedName>
    <definedName name="_W1" localSheetId="0">#REF!</definedName>
    <definedName name="_W1">#REF!</definedName>
    <definedName name="_W5" localSheetId="0">#REF!</definedName>
    <definedName name="_W5">#REF!</definedName>
    <definedName name="_We1">#REF!</definedName>
    <definedName name="_We2">#REF!</definedName>
    <definedName name="_WE3">#REF!</definedName>
    <definedName name="_We4">#REF!</definedName>
    <definedName name="_we5">#REF!</definedName>
    <definedName name="_we6">#REF!</definedName>
    <definedName name="_we7">#REF!</definedName>
    <definedName name="_we8">#REF!</definedName>
    <definedName name="_Wer1">#REF!</definedName>
    <definedName name="_Wer2">#REF!</definedName>
    <definedName name="_Wer3">#REF!</definedName>
    <definedName name="_Wer4">#REF!</definedName>
    <definedName name="_Wht1">#REF!</definedName>
    <definedName name="_Wht2">#REF!</definedName>
    <definedName name="_Wht3">#REF!</definedName>
    <definedName name="_Wht4">#REF!</definedName>
    <definedName name="_wht5">#REF!</definedName>
    <definedName name="_wht6">#REF!</definedName>
    <definedName name="_wht7">#REF!</definedName>
    <definedName name="_wht8">#REF!</definedName>
    <definedName name="_WO3">#REF!</definedName>
    <definedName name="_Wo4">#REF!</definedName>
    <definedName name="_wo5">#REF!</definedName>
    <definedName name="_wo6">#REF!</definedName>
    <definedName name="_wo7">#REF!</definedName>
    <definedName name="_wo8">#REF!</definedName>
    <definedName name="_Wp1" localSheetId="0">#REF!</definedName>
    <definedName name="_Wp1">#REF!</definedName>
    <definedName name="_Wp2" localSheetId="0">#REF!</definedName>
    <definedName name="_Wp2">#REF!</definedName>
    <definedName name="_wsb5">#REF!</definedName>
    <definedName name="_ُهفث">#REF!</definedName>
    <definedName name="A">#N/A</definedName>
    <definedName name="A3_">#REF!</definedName>
    <definedName name="A4_">#REF!</definedName>
    <definedName name="A5_">#REF!</definedName>
    <definedName name="A6_">#REF!</definedName>
    <definedName name="A7_">#REF!</definedName>
    <definedName name="AA" localSheetId="0" hidden="1">#REF!</definedName>
    <definedName name="AA" hidden="1">#REF!</definedName>
    <definedName name="ACT">#REF!</definedName>
    <definedName name="Af">#REF!</definedName>
    <definedName name="aF1X">#REF!</definedName>
    <definedName name="AFCDatabase" localSheetId="0">#REF!</definedName>
    <definedName name="AFCDatabase">#REF!</definedName>
    <definedName name="Ag">#REF!</definedName>
    <definedName name="agdump">#REF!</definedName>
    <definedName name="agedump">#REF!</definedName>
    <definedName name="agencydump">#REF!</definedName>
    <definedName name="AGENCYLY">#REF!</definedName>
    <definedName name="AGENCYPLAN">#REF!</definedName>
    <definedName name="AL_ANODE">#REF!</definedName>
    <definedName name="ALI">#REF!</definedName>
    <definedName name="am" localSheetId="0">#REF!</definedName>
    <definedName name="am">#REF!</definedName>
    <definedName name="AN_ANODE">#REF!</definedName>
    <definedName name="ANODE재" localSheetId="0">#REF!</definedName>
    <definedName name="ANODE재">#REF!</definedName>
    <definedName name="Ap">#REF!</definedName>
    <definedName name="Aped1">#REF!</definedName>
    <definedName name="Aped2">#REF!</definedName>
    <definedName name="AS">#REF!</definedName>
    <definedName name="asdfsdgdfghfutyutyj" localSheetId="0" hidden="1">#REF!</definedName>
    <definedName name="asdfsdgdfghfutyutyj" hidden="1">#REF!</definedName>
    <definedName name="ASW">#REF!</definedName>
    <definedName name="ATB">#REF!</definedName>
    <definedName name="ATM">#REF!</definedName>
    <definedName name="AWDASER" localSheetId="0">#REF!</definedName>
    <definedName name="AWDASER">#REF!</definedName>
    <definedName name="awet" localSheetId="0">#REF!</definedName>
    <definedName name="awet">#REF!</definedName>
    <definedName name="B" localSheetId="0">#REF!</definedName>
    <definedName name="B">#REF!</definedName>
    <definedName name="B2B" localSheetId="0">#REF!</definedName>
    <definedName name="B2B">#REF!</definedName>
    <definedName name="BAT">#REF!</definedName>
    <definedName name="BB">#REF!</definedName>
    <definedName name="BBF" localSheetId="0">#REF!</definedName>
    <definedName name="BBF">#REF!</definedName>
    <definedName name="BBK" localSheetId="0">#REF!</definedName>
    <definedName name="BBK">#REF!</definedName>
    <definedName name="BF" localSheetId="0">#REF!</definedName>
    <definedName name="BF">#REF!</definedName>
    <definedName name="BH" localSheetId="0">#REF!</definedName>
    <definedName name="BH">#REF!</definedName>
    <definedName name="BM" localSheetId="0">#REF!</definedName>
    <definedName name="BM">#REF!</definedName>
    <definedName name="BPB" localSheetId="0">#REF!</definedName>
    <definedName name="BPB">#REF!</definedName>
    <definedName name="BPBF" localSheetId="0">#REF!</definedName>
    <definedName name="BPBF">#REF!</definedName>
    <definedName name="BPBK" localSheetId="0">#REF!</definedName>
    <definedName name="BPBK">#REF!</definedName>
    <definedName name="BPF" localSheetId="0">#REF!</definedName>
    <definedName name="BPF">#REF!</definedName>
    <definedName name="BPH" localSheetId="0">#REF!</definedName>
    <definedName name="BPH">#REF!</definedName>
    <definedName name="BPM" localSheetId="0">#REF!</definedName>
    <definedName name="BPM">#REF!</definedName>
    <definedName name="BPS" localSheetId="0">#REF!</definedName>
    <definedName name="BPS">#REF!</definedName>
    <definedName name="BPSA" localSheetId="0">#REF!</definedName>
    <definedName name="BPSA">#REF!</definedName>
    <definedName name="BQ" localSheetId="0">#REF!</definedName>
    <definedName name="BQ">#REF!</definedName>
    <definedName name="BS" localSheetId="0">#REF!</definedName>
    <definedName name="BS">#REF!</definedName>
    <definedName name="BSA" localSheetId="0">#REF!</definedName>
    <definedName name="BSA">#REF!</definedName>
    <definedName name="BTW">#REF!</definedName>
    <definedName name="BVB" localSheetId="0" hidden="1">{#N/A,#N/A,TRUE,"arnitower";#N/A,#N/A,TRUE,"arnigarage "}</definedName>
    <definedName name="BVB" hidden="1">{#N/A,#N/A,TRUE,"arnitower";#N/A,#N/A,TRUE,"arnigarage "}</definedName>
    <definedName name="C_">#N/A</definedName>
    <definedName name="CACT" localSheetId="0">#REF!</definedName>
    <definedName name="CACT">#REF!</definedName>
    <definedName name="CalcAgencyPrice">#REF!</definedName>
    <definedName name="CC">#REF!</definedName>
    <definedName name="CCB" localSheetId="0">#REF!</definedName>
    <definedName name="CCB">#REF!</definedName>
    <definedName name="CCBF" localSheetId="0">#REF!</definedName>
    <definedName name="CCBF">#REF!</definedName>
    <definedName name="CCBK" localSheetId="0">#REF!</definedName>
    <definedName name="CCBK">#REF!</definedName>
    <definedName name="CCF" localSheetId="0">#REF!</definedName>
    <definedName name="CCF">#REF!</definedName>
    <definedName name="CCH" localSheetId="0">#REF!</definedName>
    <definedName name="CCH">#REF!</definedName>
    <definedName name="CCM" localSheetId="0">#REF!</definedName>
    <definedName name="CCM">#REF!</definedName>
    <definedName name="CCS" localSheetId="0">#REF!</definedName>
    <definedName name="CCS">#REF!</definedName>
    <definedName name="CCSA" localSheetId="0">#REF!</definedName>
    <definedName name="CCSA">#REF!</definedName>
    <definedName name="CDB" localSheetId="0">#REF!</definedName>
    <definedName name="CDB">#REF!</definedName>
    <definedName name="CDBF" localSheetId="0">#REF!</definedName>
    <definedName name="CDBF">#REF!</definedName>
    <definedName name="CDBK" localSheetId="0">#REF!</definedName>
    <definedName name="CDBK">#REF!</definedName>
    <definedName name="CDCI" localSheetId="0">#REF!</definedName>
    <definedName name="CDCI">#REF!</definedName>
    <definedName name="CDF" localSheetId="0">#REF!</definedName>
    <definedName name="CDF">#REF!</definedName>
    <definedName name="CDH" localSheetId="0">#REF!</definedName>
    <definedName name="CDH">#REF!</definedName>
    <definedName name="CDM" localSheetId="0">#REF!</definedName>
    <definedName name="CDM">#REF!</definedName>
    <definedName name="CDS" localSheetId="0">#REF!</definedName>
    <definedName name="CDS">#REF!</definedName>
    <definedName name="CDSA" localSheetId="0">#REF!</definedName>
    <definedName name="CDSA">#REF!</definedName>
    <definedName name="cf1x">#REF!</definedName>
    <definedName name="cf1y">#REF!</definedName>
    <definedName name="cf2x">#REF!</definedName>
    <definedName name="cf2y">#REF!</definedName>
    <definedName name="cf3x">#REF!</definedName>
    <definedName name="cf3y">#REF!</definedName>
    <definedName name="cf4x">#REF!</definedName>
    <definedName name="cf4y">#REF!</definedName>
    <definedName name="cf5x">#REF!</definedName>
    <definedName name="cf5y">#REF!</definedName>
    <definedName name="cf6x">#REF!</definedName>
    <definedName name="cf6y">#REF!</definedName>
    <definedName name="cf7x">#REF!</definedName>
    <definedName name="cf7y">#REF!</definedName>
    <definedName name="cf8x">#REF!</definedName>
    <definedName name="cf8y">#REF!</definedName>
    <definedName name="cf9x">#REF!</definedName>
    <definedName name="cf9y">#REF!</definedName>
    <definedName name="cg">#REF!</definedName>
    <definedName name="CIB">#REF!</definedName>
    <definedName name="COB" localSheetId="0">#REF!</definedName>
    <definedName name="COB">#REF!</definedName>
    <definedName name="COBF" localSheetId="0">#REF!</definedName>
    <definedName name="COBF">#REF!</definedName>
    <definedName name="COBK" localSheetId="0">#REF!</definedName>
    <definedName name="COBK">#REF!</definedName>
    <definedName name="Code" hidden="1">#REF!</definedName>
    <definedName name="COF" localSheetId="0">#REF!</definedName>
    <definedName name="COF">#REF!</definedName>
    <definedName name="COH" localSheetId="0">#REF!</definedName>
    <definedName name="COH">#REF!</definedName>
    <definedName name="COM" localSheetId="0">#REF!</definedName>
    <definedName name="COM">#REF!</definedName>
    <definedName name="Commission">#REF!</definedName>
    <definedName name="CONB" localSheetId="0">#REF!</definedName>
    <definedName name="CONB">#REF!</definedName>
    <definedName name="CONBF" localSheetId="0">#REF!</definedName>
    <definedName name="CONBF">#REF!</definedName>
    <definedName name="CONBK" localSheetId="0">#REF!</definedName>
    <definedName name="CONBK">#REF!</definedName>
    <definedName name="CONF" localSheetId="0">#REF!</definedName>
    <definedName name="CONF">#REF!</definedName>
    <definedName name="CONH" localSheetId="0">#REF!</definedName>
    <definedName name="CONH">#REF!</definedName>
    <definedName name="CONM" localSheetId="0">#REF!</definedName>
    <definedName name="CONM">#REF!</definedName>
    <definedName name="CONS" localSheetId="0">#REF!</definedName>
    <definedName name="CONS">#REF!</definedName>
    <definedName name="CONSA" localSheetId="0">#REF!</definedName>
    <definedName name="CONSA">#REF!</definedName>
    <definedName name="COS" localSheetId="0">#REF!</definedName>
    <definedName name="COS">#REF!</definedName>
    <definedName name="COSA" localSheetId="0">#REF!</definedName>
    <definedName name="COSA">#REF!</definedName>
    <definedName name="CSPEC" localSheetId="0">#REF!</definedName>
    <definedName name="CSPEC">#REF!</definedName>
    <definedName name="cURVE">#REF!</definedName>
    <definedName name="CV38재" localSheetId="0">#REF!</definedName>
    <definedName name="CV38재">#REF!</definedName>
    <definedName name="CV8재" localSheetId="0">#REF!</definedName>
    <definedName name="CV8재">#REF!</definedName>
    <definedName name="D">#REF!</definedName>
    <definedName name="DaRWk1">#REF!</definedName>
    <definedName name="DaRWk10">#REF!</definedName>
    <definedName name="DaRWk11">#REF!</definedName>
    <definedName name="DaRWk12">#REF!</definedName>
    <definedName name="DaRWk2">#REF!</definedName>
    <definedName name="DaRWk3">#REF!</definedName>
    <definedName name="DaRWk4">#REF!</definedName>
    <definedName name="DaRWk5">#REF!</definedName>
    <definedName name="DaRWk6">#REF!</definedName>
    <definedName name="DaRWk8">#REF!</definedName>
    <definedName name="DaRwk9">#REF!</definedName>
    <definedName name="data1" hidden="1">#REF!</definedName>
    <definedName name="data2" hidden="1">#REF!</definedName>
    <definedName name="data3" hidden="1">#REF!</definedName>
    <definedName name="_xlnm.Database">#REF!</definedName>
    <definedName name="DAVID">#REF!</definedName>
    <definedName name="DaWk7">#REF!</definedName>
    <definedName name="DB" localSheetId="0">#REF!</definedName>
    <definedName name="DB">#REF!</definedName>
    <definedName name="dbrwk1">#REF!</definedName>
    <definedName name="dbrwk10">#REF!</definedName>
    <definedName name="dbrwk11">#REF!</definedName>
    <definedName name="dbrwk12">#REF!</definedName>
    <definedName name="dbrwk2">#REF!</definedName>
    <definedName name="dbrwk3">#REF!</definedName>
    <definedName name="dbrwk4">#REF!</definedName>
    <definedName name="dbrwk5">#REF!</definedName>
    <definedName name="dbrwk6">#REF!</definedName>
    <definedName name="dbrwk7">#REF!</definedName>
    <definedName name="dbrwk8">#REF!</definedName>
    <definedName name="dbrwk9">#REF!</definedName>
    <definedName name="DCI" localSheetId="0">#REF!</definedName>
    <definedName name="DCI">#REF!</definedName>
    <definedName name="dcrwk1">#REF!</definedName>
    <definedName name="dcrwk10">#REF!</definedName>
    <definedName name="dcrwk11">#REF!</definedName>
    <definedName name="dcrwk12">#REF!</definedName>
    <definedName name="dcrwk2">#REF!</definedName>
    <definedName name="dcrwk3">#REF!</definedName>
    <definedName name="dcrwk4">#REF!</definedName>
    <definedName name="dcrwk5">#REF!</definedName>
    <definedName name="dcrwk6">#REF!</definedName>
    <definedName name="dcrwk7">#REF!</definedName>
    <definedName name="dcrwk8">#REF!</definedName>
    <definedName name="dcrwk9">#REF!</definedName>
    <definedName name="DD" localSheetId="0" hidden="1">#REF!</definedName>
    <definedName name="DD" hidden="1">#REF!</definedName>
    <definedName name="DelDC">#REF!</definedName>
    <definedName name="DelDm">#REF!</definedName>
    <definedName name="Delivery">#REF!</definedName>
    <definedName name="DelType">#REF!</definedName>
    <definedName name="deptLookup">#REF!</definedName>
    <definedName name="Detail">#REF!</definedName>
    <definedName name="Df" localSheetId="0">#REF!</definedName>
    <definedName name="Df">#REF!</definedName>
    <definedName name="Dff">#REF!</definedName>
    <definedName name="DFGH" localSheetId="0">#REF!</definedName>
    <definedName name="DFGH">#REF!</definedName>
    <definedName name="DISC" localSheetId="0">OFFSET(#REF!,0,0,COUNTA(#REF!)-1,1)</definedName>
    <definedName name="DISC">OFFSET(#REF!,0,0,COUNTA(#REF!)-1,1)</definedName>
    <definedName name="Discount" hidden="1">#REF!</definedName>
    <definedName name="display_area_2" hidden="1">#REF!</definedName>
    <definedName name="DNOTE5" localSheetId="0">#REF!</definedName>
    <definedName name="DNOTE5">#REF!</definedName>
    <definedName name="Dp" localSheetId="0">#REF!</definedName>
    <definedName name="Dp">#REF!</definedName>
    <definedName name="DPB" localSheetId="0">#REF!</definedName>
    <definedName name="DPB">#REF!</definedName>
    <definedName name="DPBF" localSheetId="0">#REF!</definedName>
    <definedName name="DPBF">#REF!</definedName>
    <definedName name="DPBK" localSheetId="0">#REF!</definedName>
    <definedName name="DPBK">#REF!</definedName>
    <definedName name="DPF" localSheetId="0">#REF!</definedName>
    <definedName name="DPF">#REF!</definedName>
    <definedName name="DPH" localSheetId="0">#REF!</definedName>
    <definedName name="DPH">#REF!</definedName>
    <definedName name="DPM" localSheetId="0">#REF!</definedName>
    <definedName name="DPM">#REF!</definedName>
    <definedName name="Dpp">#REF!</definedName>
    <definedName name="DPS" localSheetId="0">#REF!</definedName>
    <definedName name="DPS">#REF!</definedName>
    <definedName name="DPSA" localSheetId="0">#REF!</definedName>
    <definedName name="DPSA">#REF!</definedName>
    <definedName name="dtotal" localSheetId="0">#REF!</definedName>
    <definedName name="dtotal">#REF!</definedName>
    <definedName name="dumppr">#REF!</definedName>
    <definedName name="E">#REF!</definedName>
    <definedName name="E_ON_F" localSheetId="0">#REF!</definedName>
    <definedName name="E_ON_F">#REF!</definedName>
    <definedName name="EE">#REF!</definedName>
    <definedName name="EF">#REF!</definedName>
    <definedName name="EFA">#REF!</definedName>
    <definedName name="ehsan" localSheetId="0" hidden="1">{#N/A,#N/A,FALSE,"پشرفت آرماتور1"}</definedName>
    <definedName name="ehsan" hidden="1">{#N/A,#N/A,FALSE,"پشرفت آرماتور1"}</definedName>
    <definedName name="END">#REF!</definedName>
    <definedName name="ERT">#REF!</definedName>
    <definedName name="ES">#REF!</definedName>
    <definedName name="ESA">#REF!</definedName>
    <definedName name="etg" localSheetId="0">#REF!</definedName>
    <definedName name="etg">#REF!</definedName>
    <definedName name="EVQ" localSheetId="0">#REF!</definedName>
    <definedName name="EVQ">#REF!</definedName>
    <definedName name="EW" localSheetId="0">#REF!</definedName>
    <definedName name="EW">#REF!</definedName>
    <definedName name="F">#REF!</definedName>
    <definedName name="F10X">#REF!</definedName>
    <definedName name="F10Y">#REF!</definedName>
    <definedName name="F11X">#REF!</definedName>
    <definedName name="F11Y">#REF!</definedName>
    <definedName name="F12X">#REF!</definedName>
    <definedName name="F12Y">#REF!</definedName>
    <definedName name="F13X">#REF!</definedName>
    <definedName name="F13Y">#REF!</definedName>
    <definedName name="F14X">#REF!</definedName>
    <definedName name="F14Y">#REF!</definedName>
    <definedName name="F15X">#REF!</definedName>
    <definedName name="F15Y">#REF!</definedName>
    <definedName name="F16X">#REF!</definedName>
    <definedName name="F16Y">#REF!</definedName>
    <definedName name="F17X">#REF!</definedName>
    <definedName name="F17Y">#REF!</definedName>
    <definedName name="F18X">#REF!</definedName>
    <definedName name="F18Y">#REF!</definedName>
    <definedName name="F19X">#REF!</definedName>
    <definedName name="F19Y">#REF!</definedName>
    <definedName name="F1X">#REF!</definedName>
    <definedName name="F1Y">#REF!</definedName>
    <definedName name="F20X">#REF!</definedName>
    <definedName name="F20Y">#REF!</definedName>
    <definedName name="F21X">#REF!</definedName>
    <definedName name="F21Y">#REF!</definedName>
    <definedName name="F22X">#REF!</definedName>
    <definedName name="F22Y">#REF!</definedName>
    <definedName name="F23X">#REF!</definedName>
    <definedName name="F23Y">#REF!</definedName>
    <definedName name="F2X">#REF!</definedName>
    <definedName name="F2Y">#REF!</definedName>
    <definedName name="F3X">#REF!</definedName>
    <definedName name="F3Y">#REF!</definedName>
    <definedName name="F4X">#REF!</definedName>
    <definedName name="F4Y">#REF!</definedName>
    <definedName name="f5x">#REF!</definedName>
    <definedName name="F5Y">#REF!</definedName>
    <definedName name="F6X">#REF!</definedName>
    <definedName name="F6Y">#REF!</definedName>
    <definedName name="F7X">#REF!</definedName>
    <definedName name="F7Y">#REF!</definedName>
    <definedName name="F8X">#REF!</definedName>
    <definedName name="F8Y">#REF!</definedName>
    <definedName name="f9x">#REF!</definedName>
    <definedName name="F9Y">#REF!</definedName>
    <definedName name="FAdatabase" localSheetId="0">#REF!</definedName>
    <definedName name="FAdatabase">#REF!</definedName>
    <definedName name="farzad" localSheetId="0">#REF!</definedName>
    <definedName name="farzad">#REF!</definedName>
    <definedName name="FB" localSheetId="0">#REF!</definedName>
    <definedName name="FB">#REF!</definedName>
    <definedName name="FBF" localSheetId="0">#REF!</definedName>
    <definedName name="FBF">#REF!</definedName>
    <definedName name="FBK" localSheetId="0">#REF!</definedName>
    <definedName name="FBK">#REF!</definedName>
    <definedName name="fck">#REF!</definedName>
    <definedName name="FCode" hidden="1">#REF!</definedName>
    <definedName name="FF">#REF!</definedName>
    <definedName name="ff1x">#REF!</definedName>
    <definedName name="ff2x">#REF!</definedName>
    <definedName name="ff3x">#REF!</definedName>
    <definedName name="ffinish">IF(AND(#REF!="",VALUE(#REF!)&lt;&gt;0,#REF!&lt;NOW()),IF(#REF!="",NOW()+15,#REF!+30),"")</definedName>
    <definedName name="FG">#REF!</definedName>
    <definedName name="FH" localSheetId="0">#REF!</definedName>
    <definedName name="FH">#REF!</definedName>
    <definedName name="FinalDatabase" localSheetId="0">#REF!</definedName>
    <definedName name="FinalDatabase">#REF!</definedName>
    <definedName name="FM" localSheetId="0">#REF!</definedName>
    <definedName name="FM">#REF!</definedName>
    <definedName name="frev">IF(AND(#REF!="",VALUE(#REF!)&lt;&gt;0,#REF!&lt;NOW()),IF(#REF!="",NOW()+7,#REF!+30),"")</definedName>
    <definedName name="FS" localSheetId="0">#REF!</definedName>
    <definedName name="FS">#REF!</definedName>
    <definedName name="FSA" localSheetId="0">#REF!</definedName>
    <definedName name="FSA">#REF!</definedName>
    <definedName name="fstart">IF(AND(#REF!="",VALUE(#REF!)&lt;&gt;0,#REF!&lt;NOW()),NOW()+7,"")</definedName>
    <definedName name="FY" localSheetId="0">#REF!</definedName>
    <definedName name="FY">#REF!</definedName>
    <definedName name="G">#REF!</definedName>
    <definedName name="GAMMAC" localSheetId="0">#REF!</definedName>
    <definedName name="GAMMAC">#REF!</definedName>
    <definedName name="GAMMAS" localSheetId="0">#REF!</definedName>
    <definedName name="GAMMAS">#REF!</definedName>
    <definedName name="GF">#REF!</definedName>
    <definedName name="GG">#REF!</definedName>
    <definedName name="GH" localSheetId="0">#REF!</definedName>
    <definedName name="GH">#REF!</definedName>
    <definedName name="GHJK" localSheetId="0">#REF!</definedName>
    <definedName name="GHJK">#REF!</definedName>
    <definedName name="Girder">#REF!</definedName>
    <definedName name="GrphActSales">#REF!</definedName>
    <definedName name="GrphActStk">#REF!</definedName>
    <definedName name="GrphPlanSales">#REF!</definedName>
    <definedName name="GrphTgtStk">#REF!</definedName>
    <definedName name="h" localSheetId="0" hidden="1">#REF!</definedName>
    <definedName name="h" hidden="1">#REF!</definedName>
    <definedName name="H0.251">#REF!</definedName>
    <definedName name="H0.252">#REF!</definedName>
    <definedName name="H0.253">#REF!</definedName>
    <definedName name="H0.254">#REF!</definedName>
    <definedName name="H0.255">#REF!</definedName>
    <definedName name="H0.256">#REF!</definedName>
    <definedName name="H0.257">#REF!</definedName>
    <definedName name="H0.258">#REF!</definedName>
    <definedName name="ha">#REF!</definedName>
    <definedName name="HB" localSheetId="0">#REF!</definedName>
    <definedName name="HB">#REF!</definedName>
    <definedName name="HBF" localSheetId="0">#REF!</definedName>
    <definedName name="HBF">#REF!</definedName>
    <definedName name="HBK" localSheetId="0">#REF!</definedName>
    <definedName name="HBK">#REF!</definedName>
    <definedName name="Heb" localSheetId="0">#REF!</definedName>
    <definedName name="Heb">#REF!</definedName>
    <definedName name="HEW">#REF!</definedName>
    <definedName name="HF" localSheetId="0">#REF!</definedName>
    <definedName name="HF">#REF!</definedName>
    <definedName name="HFS">#REF!</definedName>
    <definedName name="HH">#REF!</definedName>
    <definedName name="HiddenRows" hidden="1">#REF!</definedName>
    <definedName name="HIPVC28" localSheetId="0">#REF!</definedName>
    <definedName name="HIPVC28">#REF!</definedName>
    <definedName name="HIPVC36" localSheetId="0">#REF!</definedName>
    <definedName name="HIPVC36">#REF!</definedName>
    <definedName name="HJ" localSheetId="0">#REF!</definedName>
    <definedName name="HJ">#REF!</definedName>
    <definedName name="HJK" localSheetId="0">#REF!</definedName>
    <definedName name="HJK">#REF!</definedName>
    <definedName name="HKG">#REF!</definedName>
    <definedName name="HM" localSheetId="0">#REF!</definedName>
    <definedName name="HM">#REF!</definedName>
    <definedName name="HOME">#REF!</definedName>
    <definedName name="HOME1" localSheetId="0">#REF!</definedName>
    <definedName name="HOME1">#REF!</definedName>
    <definedName name="HOME2" localSheetId="0">#REF!</definedName>
    <definedName name="HOME2">#REF!</definedName>
    <definedName name="Hos">#REF!</definedName>
    <definedName name="Hot" localSheetId="0">#REF!</definedName>
    <definedName name="Hot">#REF!</definedName>
    <definedName name="How">#REF!</definedName>
    <definedName name="Howt">#REF!</definedName>
    <definedName name="Hp" localSheetId="0">#REF!</definedName>
    <definedName name="Hp">#REF!</definedName>
    <definedName name="Hpp" localSheetId="0">#REF!</definedName>
    <definedName name="Hpp">#REF!</definedName>
    <definedName name="HPS">#REF!</definedName>
    <definedName name="HS" localSheetId="0">#REF!</definedName>
    <definedName name="HS">#REF!</definedName>
    <definedName name="HSA" localSheetId="0">#REF!</definedName>
    <definedName name="HSA">#REF!</definedName>
    <definedName name="HSB">#REF!</definedName>
    <definedName name="Ht" localSheetId="0">#REF!</definedName>
    <definedName name="Ht">#REF!</definedName>
    <definedName name="Hth" localSheetId="0">#REF!</definedName>
    <definedName name="Hth">#REF!</definedName>
    <definedName name="HTML_CodePage" hidden="1">949</definedName>
    <definedName name="HTML_Control" localSheetId="0" hidden="1">{"'Line'!$A$1:$I$64","'Line'!$C$59:$H$64"}</definedName>
    <definedName name="HTML_Control" hidden="1">{"'Line'!$A$1:$I$64","'Line'!$C$59:$H$64"}</definedName>
    <definedName name="HTML_Description" hidden="1">""</definedName>
    <definedName name="HTML_Email" hidden="1">""</definedName>
    <definedName name="HTML_Header" hidden="1">"Line"</definedName>
    <definedName name="HTML_LastUpdate" hidden="1">"1997.11.17"</definedName>
    <definedName name="HTML_LineAfter" hidden="1">FALSE</definedName>
    <definedName name="HTML_LineBefore" hidden="1">FALSE</definedName>
    <definedName name="HTML_Name" hidden="1">"For-An"</definedName>
    <definedName name="HTML_OBDlg2" hidden="1">TRUE</definedName>
    <definedName name="HTML_OBDlg4" hidden="1">TRUE</definedName>
    <definedName name="HTML_OS" hidden="1">0</definedName>
    <definedName name="HTML_PathFile" hidden="1">"C:\For-An\MyHTML.htm"</definedName>
    <definedName name="HTML_Title" hidden="1">"local_stress"</definedName>
    <definedName name="HTS">#REF!</definedName>
    <definedName name="Htsw" localSheetId="0">#REF!</definedName>
    <definedName name="Htsw">#REF!</definedName>
    <definedName name="Htw" localSheetId="0">#REF!</definedName>
    <definedName name="Htw">#REF!</definedName>
    <definedName name="Htwt">#REF!</definedName>
    <definedName name="HW">#REF!</definedName>
    <definedName name="Hwb" localSheetId="0">#REF!</definedName>
    <definedName name="Hwb">#REF!</definedName>
    <definedName name="I">#REF!</definedName>
    <definedName name="IB" localSheetId="0">#REF!</definedName>
    <definedName name="IB">#REF!</definedName>
    <definedName name="IBF" localSheetId="0">#REF!</definedName>
    <definedName name="IBF">#REF!</definedName>
    <definedName name="IBK" localSheetId="0">#REF!</definedName>
    <definedName name="IBK">#REF!</definedName>
    <definedName name="IELWSALES">#REF!</definedName>
    <definedName name="IELYSALES">#REF!</definedName>
    <definedName name="IEPLANSALES">#REF!</definedName>
    <definedName name="IESP">#REF!</definedName>
    <definedName name="IF" localSheetId="0">#REF!</definedName>
    <definedName name="IF">#REF!</definedName>
    <definedName name="IH" localSheetId="0">#REF!</definedName>
    <definedName name="IH">#REF!</definedName>
    <definedName name="II">#REF!</definedName>
    <definedName name="IIP.XLS" localSheetId="0" hidden="1">{#N/A,#N/A,FALSE,"예상손익";#N/A,#N/A,FALSE,"관리분석";#N/A,#N/A,FALSE,"장비분석";#N/A,#N/A,FALSE,"준설분석";#N/A,#N/A,FALSE,"철구분석"}</definedName>
    <definedName name="IIP.XLS" hidden="1">{#N/A,#N/A,FALSE,"예상손익";#N/A,#N/A,FALSE,"관리분석";#N/A,#N/A,FALSE,"장비분석";#N/A,#N/A,FALSE,"준설분석";#N/A,#N/A,FALSE,"철구분석"}</definedName>
    <definedName name="IM" localSheetId="0">#REF!</definedName>
    <definedName name="IM">#REF!</definedName>
    <definedName name="IN" localSheetId="0">#REF!</definedName>
    <definedName name="IN">#REF!</definedName>
    <definedName name="inqdatabase" localSheetId="0">#REF!</definedName>
    <definedName name="inqdatabase">#REF!</definedName>
    <definedName name="inqidatabase" localSheetId="0">#REF!</definedName>
    <definedName name="inqidatabase">#REF!</definedName>
    <definedName name="IntFreeCred">#REF!</definedName>
    <definedName name="IS" localSheetId="0">#REF!</definedName>
    <definedName name="IS">#REF!</definedName>
    <definedName name="ISA" localSheetId="0">#REF!</definedName>
    <definedName name="ISA">#REF!</definedName>
    <definedName name="issuedfirstdatabase" localSheetId="0">#REF!</definedName>
    <definedName name="issuedfirstdatabase">#REF!</definedName>
    <definedName name="j" hidden="1">#REF!</definedName>
    <definedName name="JJ" hidden="1">#REF!</definedName>
    <definedName name="jkl" localSheetId="0">ROUND(Settings!jkl*0.0254,3)</definedName>
    <definedName name="jkl">ROUND(Settings!jkl*0.0254,3)</definedName>
    <definedName name="k" hidden="1">#REF!</definedName>
    <definedName name="KIT">#REF!</definedName>
    <definedName name="KK" hidden="1">#REF!</definedName>
    <definedName name="klhgl" localSheetId="0" hidden="1">#REF!</definedName>
    <definedName name="klhgl" hidden="1">#REF!</definedName>
    <definedName name="ksnmknmdf" localSheetId="0" hidden="1">#REF!</definedName>
    <definedName name="ksnmknmdf" hidden="1">#REF!</definedName>
    <definedName name="L">#REF!</definedName>
    <definedName name="LB" localSheetId="0">#REF!</definedName>
    <definedName name="LB">#REF!</definedName>
    <definedName name="LBF" localSheetId="0">#REF!</definedName>
    <definedName name="LBF">#REF!</definedName>
    <definedName name="LBK" localSheetId="0">#REF!</definedName>
    <definedName name="LBK">#REF!</definedName>
    <definedName name="LF" localSheetId="0">#REF!</definedName>
    <definedName name="LF">#REF!</definedName>
    <definedName name="Lff">#REF!</definedName>
    <definedName name="LH" localSheetId="0">#REF!</definedName>
    <definedName name="LH">#REF!</definedName>
    <definedName name="LM" localSheetId="0">#REF!</definedName>
    <definedName name="LM">#REF!</definedName>
    <definedName name="LS" localSheetId="0">#REF!</definedName>
    <definedName name="LS">#REF!</definedName>
    <definedName name="LSA" localSheetId="0">#REF!</definedName>
    <definedName name="LSA">#REF!</definedName>
    <definedName name="LTR_현바제_93113_93.10.07">#REF!</definedName>
    <definedName name="LWSALES">#REF!</definedName>
    <definedName name="LYBin">#REF!</definedName>
    <definedName name="LYHolds">#REF!</definedName>
    <definedName name="LYNet">#REF!</definedName>
    <definedName name="LYoos">#REF!</definedName>
    <definedName name="LYReselects">#REF!</definedName>
    <definedName name="LYReturns">#REF!</definedName>
    <definedName name="LYSales">#REF!</definedName>
    <definedName name="LYTotal">#REF!</definedName>
    <definedName name="M0.251">#REF!</definedName>
    <definedName name="M0.252">#REF!</definedName>
    <definedName name="M0.253">#REF!</definedName>
    <definedName name="M0.254">#REF!</definedName>
    <definedName name="M0.255">#REF!</definedName>
    <definedName name="M0.256">#REF!</definedName>
    <definedName name="M0.257">#REF!</definedName>
    <definedName name="M0.258">#REF!</definedName>
    <definedName name="MAINT1" localSheetId="0">#REF!</definedName>
    <definedName name="MAINT1">#REF!</definedName>
    <definedName name="MAINT5" localSheetId="0">#REF!</definedName>
    <definedName name="MAINT5">#REF!</definedName>
    <definedName name="MAINTB" localSheetId="0">#REF!</definedName>
    <definedName name="MAINTB">#REF!</definedName>
    <definedName name="MAINTBF" localSheetId="0">#REF!</definedName>
    <definedName name="MAINTBF">#REF!</definedName>
    <definedName name="MAINTBK" localSheetId="0">#REF!</definedName>
    <definedName name="MAINTBK">#REF!</definedName>
    <definedName name="MAINTF" localSheetId="0">#REF!</definedName>
    <definedName name="MAINTF">#REF!</definedName>
    <definedName name="MAINTH" localSheetId="0">#REF!</definedName>
    <definedName name="MAINTH">#REF!</definedName>
    <definedName name="MAINTM" localSheetId="0">#REF!</definedName>
    <definedName name="MAINTM">#REF!</definedName>
    <definedName name="MAINTS" localSheetId="0">#REF!</definedName>
    <definedName name="MAINTS">#REF!</definedName>
    <definedName name="MAINTSA" localSheetId="0">#REF!</definedName>
    <definedName name="MAINTSA">#REF!</definedName>
    <definedName name="MARGINPLAN">#REF!</definedName>
    <definedName name="MARGINPROJ">#REF!</definedName>
    <definedName name="MB" localSheetId="0">#REF!</definedName>
    <definedName name="MB">#REF!</definedName>
    <definedName name="MBF" localSheetId="0">#REF!</definedName>
    <definedName name="MBF">#REF!</definedName>
    <definedName name="MBK" localSheetId="0">#REF!</definedName>
    <definedName name="MBK">#REF!</definedName>
    <definedName name="Meb" localSheetId="0">#REF!</definedName>
    <definedName name="Meb">#REF!</definedName>
    <definedName name="MEW">#REF!</definedName>
    <definedName name="Mex">#REF!</definedName>
    <definedName name="Mey">#REF!</definedName>
    <definedName name="MF" localSheetId="0">#REF!</definedName>
    <definedName name="MF">#REF!</definedName>
    <definedName name="MH" localSheetId="0">#REF!</definedName>
    <definedName name="MH">#REF!</definedName>
    <definedName name="MHG">#REF!</definedName>
    <definedName name="MM" localSheetId="0">#REF!</definedName>
    <definedName name="MM">#REF!</definedName>
    <definedName name="MMM">#REF!</definedName>
    <definedName name="MO">#REF!</definedName>
    <definedName name="MONTHLY_PROGRESS_REPORT_AS_OF">#REF!</definedName>
    <definedName name="MOS">#REF!</definedName>
    <definedName name="Mot">#REF!</definedName>
    <definedName name="mow">#REF!</definedName>
    <definedName name="Mowt">#REF!</definedName>
    <definedName name="MS" localSheetId="0">#REF!</definedName>
    <definedName name="MS">#REF!</definedName>
    <definedName name="MSA" localSheetId="0">#REF!</definedName>
    <definedName name="MSA">#REF!</definedName>
    <definedName name="MSB">#REF!</definedName>
    <definedName name="MSF">#REF!</definedName>
    <definedName name="Mtsw" localSheetId="0">#REF!</definedName>
    <definedName name="Mtsw">#REF!</definedName>
    <definedName name="Mtw" localSheetId="0">#REF!</definedName>
    <definedName name="Mtw">#REF!</definedName>
    <definedName name="Mtwt">#REF!</definedName>
    <definedName name="Mtwv" localSheetId="0">#REF!</definedName>
    <definedName name="Mtwv">#REF!</definedName>
    <definedName name="Mu" localSheetId="0">#REF!</definedName>
    <definedName name="Mu">#REF!</definedName>
    <definedName name="Mwb" localSheetId="0">#REF!</definedName>
    <definedName name="Mwb">#REF!</definedName>
    <definedName name="MWF">#REF!</definedName>
    <definedName name="N">#REF!</definedName>
    <definedName name="NEW" localSheetId="0">ROUND(Settings!NEW*0.0254,3)</definedName>
    <definedName name="NEW">ROUND(Settings!NEW*0.0254,3)</definedName>
    <definedName name="NOCB" localSheetId="0">#REF!</definedName>
    <definedName name="NOCB">#REF!</definedName>
    <definedName name="NOCBF" localSheetId="0">#REF!</definedName>
    <definedName name="NOCBF">#REF!</definedName>
    <definedName name="NOCBK" localSheetId="0">#REF!</definedName>
    <definedName name="NOCBK">#REF!</definedName>
    <definedName name="NOCF" localSheetId="0">#REF!</definedName>
    <definedName name="NOCF">#REF!</definedName>
    <definedName name="NOCH" localSheetId="0">#REF!</definedName>
    <definedName name="NOCH">#REF!</definedName>
    <definedName name="NOCM" localSheetId="0">#REF!</definedName>
    <definedName name="NOCM">#REF!</definedName>
    <definedName name="NOCS" localSheetId="0">#REF!</definedName>
    <definedName name="NOCS">#REF!</definedName>
    <definedName name="NOCSA" localSheetId="0">#REF!</definedName>
    <definedName name="NOCSA">#REF!</definedName>
    <definedName name="o" localSheetId="0" hidden="1">#REF!</definedName>
    <definedName name="o" hidden="1">#REF!</definedName>
    <definedName name="OD" localSheetId="0">#REF!</definedName>
    <definedName name="OD">#REF!</definedName>
    <definedName name="OrderTable" hidden="1">#REF!</definedName>
    <definedName name="OUT" localSheetId="0">#REF!</definedName>
    <definedName name="OUT">#REF!</definedName>
    <definedName name="OUTA" localSheetId="0">#REF!</definedName>
    <definedName name="OUTA">#REF!</definedName>
    <definedName name="OUTB" localSheetId="0">#REF!</definedName>
    <definedName name="OUTB">#REF!</definedName>
    <definedName name="OUTBF" localSheetId="0">#REF!</definedName>
    <definedName name="OUTBF">#REF!</definedName>
    <definedName name="OUTBK" localSheetId="0">#REF!</definedName>
    <definedName name="OUTBK">#REF!</definedName>
    <definedName name="OUTF" localSheetId="0">#REF!</definedName>
    <definedName name="OUTF">#REF!</definedName>
    <definedName name="OUTH" localSheetId="0">#REF!</definedName>
    <definedName name="OUTH">#REF!</definedName>
    <definedName name="OUTK" localSheetId="0">#REF!</definedName>
    <definedName name="OUTK">#REF!</definedName>
    <definedName name="OUTM" localSheetId="0">#REF!</definedName>
    <definedName name="OUTM">#REF!</definedName>
    <definedName name="OUTN" localSheetId="0">#REF!</definedName>
    <definedName name="OUTN">#REF!</definedName>
    <definedName name="OUTR" localSheetId="0">#REF!</definedName>
    <definedName name="OUTR">#REF!</definedName>
    <definedName name="OUTS" localSheetId="0">#REF!</definedName>
    <definedName name="OUTS">#REF!</definedName>
    <definedName name="OUTSA" localSheetId="0">#REF!</definedName>
    <definedName name="OUTSA">#REF!</definedName>
    <definedName name="OUTW" localSheetId="0">#REF!</definedName>
    <definedName name="OUTW">#REF!</definedName>
    <definedName name="OUTY" localSheetId="0">#REF!</definedName>
    <definedName name="OUTY">#REF!</definedName>
    <definedName name="P">#REF!</definedName>
    <definedName name="P_C" localSheetId="0">VLOOKUP(#REF!,#REF!,#REF!+2,FALSE)</definedName>
    <definedName name="P_C">VLOOKUP(#REF!,#REF!,#REF!+2,FALSE)</definedName>
    <definedName name="P_ENG">#REF!</definedName>
    <definedName name="P_ENG1">#REF!</definedName>
    <definedName name="P_PRQ">#REF!</definedName>
    <definedName name="PAGE1" localSheetId="0">#REF!</definedName>
    <definedName name="PAGE1">#REF!</definedName>
    <definedName name="PAGE2" localSheetId="0">#REF!</definedName>
    <definedName name="PAGE2">#REF!</definedName>
    <definedName name="PCT" localSheetId="0">#REF!</definedName>
    <definedName name="PCT">#REF!</definedName>
    <definedName name="ped5.1">#REF!</definedName>
    <definedName name="ped5.2">#REF!</definedName>
    <definedName name="PILED">#REF!</definedName>
    <definedName name="pipingDaily" localSheetId="0">#REF!</definedName>
    <definedName name="pipingDaily">#REF!</definedName>
    <definedName name="Plan">#REF!</definedName>
    <definedName name="plan1" localSheetId="0">#REF!</definedName>
    <definedName name="plan1">#REF!</definedName>
    <definedName name="PP" localSheetId="0">#REF!</definedName>
    <definedName name="PP">#REF!</definedName>
    <definedName name="ppp">#REF!</definedName>
    <definedName name="Pr">#REF!</definedName>
    <definedName name="PRDump">#REF!</definedName>
    <definedName name="price" localSheetId="0">#REF!</definedName>
    <definedName name="price">#REF!</definedName>
    <definedName name="_xlnm.Print_Area">#REF!</definedName>
    <definedName name="Print_Area_MI">#REF!</definedName>
    <definedName name="Print_Area1">#REF!</definedName>
    <definedName name="Print_Area2">#REF!</definedName>
    <definedName name="Print_Area3">#REF!</definedName>
    <definedName name="_xlnm.Print_Titles">#REF!</definedName>
    <definedName name="Print_Titles_MI" localSheetId="0">#REF!</definedName>
    <definedName name="Print_Titles_MI">#REF!</definedName>
    <definedName name="ProdForm" hidden="1">#REF!</definedName>
    <definedName name="Product" hidden="1">#REF!</definedName>
    <definedName name="PROJ">#REF!</definedName>
    <definedName name="PSR">#REF!</definedName>
    <definedName name="PTN" localSheetId="0">#REF!</definedName>
    <definedName name="PTN">#REF!</definedName>
    <definedName name="PWB" localSheetId="0">#REF!</definedName>
    <definedName name="PWB">#REF!</definedName>
    <definedName name="PWBF" localSheetId="0">#REF!</definedName>
    <definedName name="PWBF">#REF!</definedName>
    <definedName name="PWBK" localSheetId="0">#REF!</definedName>
    <definedName name="PWBK">#REF!</definedName>
    <definedName name="PWF" localSheetId="0">#REF!</definedName>
    <definedName name="PWF">#REF!</definedName>
    <definedName name="PWH" localSheetId="0">#REF!</definedName>
    <definedName name="PWH">#REF!</definedName>
    <definedName name="PWM" localSheetId="0">#REF!</definedName>
    <definedName name="PWM">#REF!</definedName>
    <definedName name="PWS" localSheetId="0">#REF!</definedName>
    <definedName name="PWS">#REF!</definedName>
    <definedName name="PWSA" localSheetId="0">#REF!</definedName>
    <definedName name="PWSA">#REF!</definedName>
    <definedName name="Qa">#REF!</definedName>
    <definedName name="QERT">#REF!</definedName>
    <definedName name="QQQ" localSheetId="0">#REF!</definedName>
    <definedName name="QQQ">#REF!</definedName>
    <definedName name="ra">#REF!</definedName>
    <definedName name="RATE">#REF!</definedName>
    <definedName name="RawAgencyPrice">#REF!</definedName>
    <definedName name="RB" localSheetId="0">#REF!</definedName>
    <definedName name="RB">#REF!</definedName>
    <definedName name="RBData">#REF!</definedName>
    <definedName name="RCArea" hidden="1">#REF!</definedName>
    <definedName name="remark" localSheetId="0">#REF!</definedName>
    <definedName name="remark">#REF!</definedName>
    <definedName name="RENT5" localSheetId="0">#REF!</definedName>
    <definedName name="RENT5">#REF!</definedName>
    <definedName name="RENTBF" localSheetId="0">#REF!</definedName>
    <definedName name="RENTBF">#REF!</definedName>
    <definedName name="RENTBK" localSheetId="0">#REF!</definedName>
    <definedName name="RENTBK">#REF!</definedName>
    <definedName name="RENTS" localSheetId="0">#REF!</definedName>
    <definedName name="RENTS">#REF!</definedName>
    <definedName name="Reselects">#REF!</definedName>
    <definedName name="RF" localSheetId="0">#REF!</definedName>
    <definedName name="RF">#REF!</definedName>
    <definedName name="RH" localSheetId="0">#REF!</definedName>
    <definedName name="RH">#REF!</definedName>
    <definedName name="RM" localSheetId="0">#REF!</definedName>
    <definedName name="RM">#REF!</definedName>
    <definedName name="RO">#REF!</definedName>
    <definedName name="RS" localSheetId="0">#REF!</definedName>
    <definedName name="RS">#REF!</definedName>
    <definedName name="RSA" localSheetId="0">#REF!</definedName>
    <definedName name="RSA">#REF!</definedName>
    <definedName name="RUT" localSheetId="0">#REF!</definedName>
    <definedName name="RUT">#REF!</definedName>
    <definedName name="RYEAR" localSheetId="0">OFFSET(#REF!,1,0,COUNTA(#REF!),1)</definedName>
    <definedName name="RYEAR">OFFSET(#REF!,1,0,COUNTA(#REF!),1)</definedName>
    <definedName name="S">#REF!</definedName>
    <definedName name="SALESPLAN">#REF!</definedName>
    <definedName name="SAS" localSheetId="0">#REF!</definedName>
    <definedName name="SAS">#REF!</definedName>
    <definedName name="SB" localSheetId="0">#REF!</definedName>
    <definedName name="SB">#REF!</definedName>
    <definedName name="SBF" localSheetId="0">#REF!</definedName>
    <definedName name="SBF">#REF!</definedName>
    <definedName name="SBK" localSheetId="0">#REF!</definedName>
    <definedName name="SBK">#REF!</definedName>
    <definedName name="sc">#REF!</definedName>
    <definedName name="SDdatabase" localSheetId="0">#REF!</definedName>
    <definedName name="SDdatabase">#REF!</definedName>
    <definedName name="sdddatabase" localSheetId="0">#REF!</definedName>
    <definedName name="sdddatabase">#REF!</definedName>
    <definedName name="SDETG" localSheetId="0">#REF!</definedName>
    <definedName name="SDETG">#REF!</definedName>
    <definedName name="SDF" localSheetId="0">#REF!</definedName>
    <definedName name="SDF">#REF!</definedName>
    <definedName name="SDFSDFSDFSDFSDFDS" localSheetId="0">#REF!</definedName>
    <definedName name="SDFSDFSDFSDFSDFDS">#REF!</definedName>
    <definedName name="SDS" localSheetId="0">#REF!</definedName>
    <definedName name="SDS">#REF!</definedName>
    <definedName name="SDSD" localSheetId="0">#REF!</definedName>
    <definedName name="SDSD">#REF!</definedName>
    <definedName name="se">#REF!</definedName>
    <definedName name="SERT" localSheetId="0">#REF!</definedName>
    <definedName name="SERT">#REF!</definedName>
    <definedName name="SF" localSheetId="0">#REF!</definedName>
    <definedName name="SF">#REF!</definedName>
    <definedName name="sg">#REF!</definedName>
    <definedName name="SH" localSheetId="0">#REF!</definedName>
    <definedName name="SH">#REF!</definedName>
    <definedName name="sheet2" localSheetId="0">#REF!</definedName>
    <definedName name="sheet2">#REF!</definedName>
    <definedName name="SIB" localSheetId="0">#REF!</definedName>
    <definedName name="SIB">#REF!</definedName>
    <definedName name="SIBF" localSheetId="0">#REF!</definedName>
    <definedName name="SIBF">#REF!</definedName>
    <definedName name="SIBK" localSheetId="0">#REF!</definedName>
    <definedName name="SIBK">#REF!</definedName>
    <definedName name="SIF" localSheetId="0">#REF!</definedName>
    <definedName name="SIF">#REF!</definedName>
    <definedName name="SIH" localSheetId="0">#REF!</definedName>
    <definedName name="SIH">#REF!</definedName>
    <definedName name="SIM" localSheetId="0">#REF!</definedName>
    <definedName name="SIM">#REF!</definedName>
    <definedName name="SIS" localSheetId="0">#REF!</definedName>
    <definedName name="SIS">#REF!</definedName>
    <definedName name="SISA" localSheetId="0">#REF!</definedName>
    <definedName name="SISA">#REF!</definedName>
    <definedName name="size" localSheetId="0">ROUND(Settings!size*0.0254,3)</definedName>
    <definedName name="size">ROUND(Settings!size*0.0254,3)</definedName>
    <definedName name="sm">#REF!</definedName>
    <definedName name="SOIL1">#REF!</definedName>
    <definedName name="SOIL2">#REF!</definedName>
    <definedName name="sp">#REF!</definedName>
    <definedName name="SPEC" localSheetId="0">#REF!</definedName>
    <definedName name="SPEC">#REF!</definedName>
    <definedName name="SpecialPrice" hidden="1">#REF!</definedName>
    <definedName name="spgd.xls" localSheetId="0" hidden="1">{#N/A,#N/A,FALSE,"사업총괄";#N/A,#N/A,FALSE,"장비사업";#N/A,#N/A,FALSE,"철구사업";#N/A,#N/A,FALSE,"준설사업"}</definedName>
    <definedName name="spgd.xls" hidden="1">{#N/A,#N/A,FALSE,"사업총괄";#N/A,#N/A,FALSE,"장비사업";#N/A,#N/A,FALSE,"철구사업";#N/A,#N/A,FALSE,"준설사업"}</definedName>
    <definedName name="spgd_1" localSheetId="0" hidden="1">{#N/A,#N/A,FALSE,"사업총괄";#N/A,#N/A,FALSE,"장비사업";#N/A,#N/A,FALSE,"철구사업";#N/A,#N/A,FALSE,"준설사업"}</definedName>
    <definedName name="spgd_1" hidden="1">{#N/A,#N/A,FALSE,"사업총괄";#N/A,#N/A,FALSE,"장비사업";#N/A,#N/A,FALSE,"철구사업";#N/A,#N/A,FALSE,"준설사업"}</definedName>
    <definedName name="spgd_1.xls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spgd_1.xls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SPLICE">#REF!</definedName>
    <definedName name="SS" localSheetId="0">#REF!</definedName>
    <definedName name="SS">#REF!</definedName>
    <definedName name="SSA" localSheetId="0">#REF!</definedName>
    <definedName name="SSA">#REF!</definedName>
    <definedName name="ssprogcum" localSheetId="0">#REF!</definedName>
    <definedName name="ssprogcum">#REF!</definedName>
    <definedName name="Start2database" localSheetId="0">#REF!</definedName>
    <definedName name="Start2database">#REF!</definedName>
    <definedName name="Startdatabase" localSheetId="0">#REF!</definedName>
    <definedName name="Startdatabase">#REF!</definedName>
    <definedName name="STY" localSheetId="0">#REF!</definedName>
    <definedName name="STY">#REF!</definedName>
    <definedName name="SY" localSheetId="0">#REF!</definedName>
    <definedName name="SY">#REF!</definedName>
    <definedName name="SZTY" localSheetId="0">#REF!</definedName>
    <definedName name="SZTY">#REF!</definedName>
    <definedName name="T">#REF!</definedName>
    <definedName name="t_table" localSheetId="0">#REF!</definedName>
    <definedName name="t_table">#REF!</definedName>
    <definedName name="TAB">#REF!</definedName>
    <definedName name="Table">#REF!</definedName>
    <definedName name="Table1">#REF!</definedName>
    <definedName name="TB" localSheetId="0">#REF!</definedName>
    <definedName name="TB">#REF!</definedName>
    <definedName name="TBF" localSheetId="0">#REF!</definedName>
    <definedName name="TBF">#REF!</definedName>
    <definedName name="TBK" localSheetId="0">#REF!</definedName>
    <definedName name="TBK">#REF!</definedName>
    <definedName name="tbl_ProdInfo" hidden="1">#REF!</definedName>
    <definedName name="tc">#REF!</definedName>
    <definedName name="te">#REF!</definedName>
    <definedName name="test" localSheetId="0">#REF!</definedName>
    <definedName name="test">#REF!</definedName>
    <definedName name="TF" localSheetId="0">#REF!</definedName>
    <definedName name="TF">#REF!</definedName>
    <definedName name="tg" localSheetId="0">#REF!</definedName>
    <definedName name="tg">#REF!</definedName>
    <definedName name="tgf" localSheetId="0">#REF!</definedName>
    <definedName name="tgf">#REF!</definedName>
    <definedName name="TH" localSheetId="0">#REF!</definedName>
    <definedName name="TH">#REF!</definedName>
    <definedName name="TITLE">#REF!</definedName>
    <definedName name="TM">#REF!</definedName>
    <definedName name="tn">#REF!</definedName>
    <definedName name="tp">#REF!</definedName>
    <definedName name="TS" localSheetId="0">#REF!</definedName>
    <definedName name="TS">#REF!</definedName>
    <definedName name="TSA" localSheetId="0">#REF!</definedName>
    <definedName name="TSA">#REF!</definedName>
    <definedName name="TVB" localSheetId="0">#REF!</definedName>
    <definedName name="TVB">#REF!</definedName>
    <definedName name="TVBF" localSheetId="0">#REF!</definedName>
    <definedName name="TVBF">#REF!</definedName>
    <definedName name="TVBK" localSheetId="0">#REF!</definedName>
    <definedName name="TVBK">#REF!</definedName>
    <definedName name="TVF" localSheetId="0">#REF!</definedName>
    <definedName name="TVF">#REF!</definedName>
    <definedName name="TVH" localSheetId="0">#REF!</definedName>
    <definedName name="TVH">#REF!</definedName>
    <definedName name="TVM" localSheetId="0">#REF!</definedName>
    <definedName name="TVM">#REF!</definedName>
    <definedName name="TVS" localSheetId="0">#REF!</definedName>
    <definedName name="TVS">#REF!</definedName>
    <definedName name="TVSA" localSheetId="0">#REF!</definedName>
    <definedName name="TVSA">#REF!</definedName>
    <definedName name="u" hidden="1">#REF!</definedName>
    <definedName name="UA" localSheetId="0">#REF!</definedName>
    <definedName name="UA">#REF!</definedName>
    <definedName name="UIGY">#REF!</definedName>
    <definedName name="V">#REF!</definedName>
    <definedName name="VB" localSheetId="0">#REF!</definedName>
    <definedName name="VB">#REF!</definedName>
    <definedName name="VBF" localSheetId="0">#REF!</definedName>
    <definedName name="VBF">#REF!</definedName>
    <definedName name="VBK" localSheetId="0">#REF!</definedName>
    <definedName name="VBK">#REF!</definedName>
    <definedName name="VE">#REF!</definedName>
    <definedName name="VEB" localSheetId="0">#REF!</definedName>
    <definedName name="VEB">#REF!</definedName>
    <definedName name="Vew">#REF!</definedName>
    <definedName name="VF" localSheetId="0">#REF!</definedName>
    <definedName name="VF">#REF!</definedName>
    <definedName name="VH" localSheetId="0">#REF!</definedName>
    <definedName name="VH">#REF!</definedName>
    <definedName name="VM" localSheetId="0">#REF!</definedName>
    <definedName name="VM">#REF!</definedName>
    <definedName name="VO">#REF!</definedName>
    <definedName name="VOS">#REF!</definedName>
    <definedName name="Vot">#REF!</definedName>
    <definedName name="vow">#REF!</definedName>
    <definedName name="Vowt">#REF!</definedName>
    <definedName name="VS" localSheetId="0">#REF!</definedName>
    <definedName name="VS">#REF!</definedName>
    <definedName name="VSA" localSheetId="0">#REF!</definedName>
    <definedName name="VSA">#REF!</definedName>
    <definedName name="Vts" localSheetId="0">#REF!</definedName>
    <definedName name="Vts">#REF!</definedName>
    <definedName name="Vtsw" localSheetId="0">#REF!</definedName>
    <definedName name="Vtsw">#REF!</definedName>
    <definedName name="Vtw" localSheetId="0">#REF!</definedName>
    <definedName name="Vtw">#REF!</definedName>
    <definedName name="Vtwt">#REF!</definedName>
    <definedName name="Vz" localSheetId="0">#REF!</definedName>
    <definedName name="Vz">#REF!</definedName>
    <definedName name="w" hidden="1">#REF!</definedName>
    <definedName name="WB" localSheetId="0">#REF!</definedName>
    <definedName name="WB">#REF!</definedName>
    <definedName name="WBF" localSheetId="0">#REF!</definedName>
    <definedName name="WBF">#REF!</definedName>
    <definedName name="WBK" localSheetId="0">#REF!</definedName>
    <definedName name="WBK">#REF!</definedName>
    <definedName name="We">#REF!</definedName>
    <definedName name="WER" localSheetId="0">#REF!</definedName>
    <definedName name="WER">#REF!</definedName>
    <definedName name="wet" localSheetId="0">#REF!</definedName>
    <definedName name="wet">#REF!</definedName>
    <definedName name="WF" localSheetId="0">#REF!</definedName>
    <definedName name="WF">#REF!</definedName>
    <definedName name="Wft" localSheetId="0">#REF!</definedName>
    <definedName name="Wft">#REF!</definedName>
    <definedName name="wG">#REF!</definedName>
    <definedName name="WH" localSheetId="0">#REF!</definedName>
    <definedName name="WH">#REF!</definedName>
    <definedName name="WM" localSheetId="0">#REF!</definedName>
    <definedName name="WM">#REF!</definedName>
    <definedName name="Wo">#REF!</definedName>
    <definedName name="WP">#REF!</definedName>
    <definedName name="wrn.a." localSheetId="0" hidden="1">{#N/A,#N/A,FALSE,"پشرفت آرماتور1"}</definedName>
    <definedName name="wrn.a." hidden="1">{#N/A,#N/A,FALSE,"پشرفت آرماتور1"}</definedName>
    <definedName name="wrn.Bla." localSheetId="0" hidden="1">{#N/A,#N/A,FALSE,"Eier"}</definedName>
    <definedName name="wrn.Bla." hidden="1">{#N/A,#N/A,FALSE,"Eier"}</definedName>
    <definedName name="wrn.main." localSheetId="0" hidden="1">{"main",#N/A,FALSE,"MAIN (report)"}</definedName>
    <definedName name="wrn.main." hidden="1">{"main",#N/A,FALSE,"MAIN (report)"}</definedName>
    <definedName name="wrn.struckgi." localSheetId="0" hidden="1">{#N/A,#N/A,TRUE,"arnitower";#N/A,#N/A,TRUE,"arnigarage "}</definedName>
    <definedName name="wrn.struckgi." hidden="1">{#N/A,#N/A,TRUE,"arnitower";#N/A,#N/A,TRUE,"arnigarage "}</definedName>
    <definedName name="wrn.جدول._.گزارش." localSheetId="0" hidden="1">{#N/A,#N/A,FALSE,"جدول گزارش (%ثابت)"}</definedName>
    <definedName name="wrn.جدول._.گزارش." hidden="1">{#N/A,#N/A,FALSE,"جدول گزارش (%ثابت)"}</definedName>
    <definedName name="wrn.جدول._.گزارش._.فاز2." localSheetId="0" hidden="1">{#N/A,#N/A,FALSE,"جدول گزارش فاز2)"}</definedName>
    <definedName name="wrn.جدول._.گزارش._.فاز2." hidden="1">{#N/A,#N/A,FALSE,"جدول گزارش فاز2)"}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변경예산." localSheetId="0" hidden="1">{#VALUE!,#N/A,FALSE,0;#N/A,#N/A,FALSE,0;#N/A,#N/A,FALSE,0;#N/A,#N/A,FALSE,0}</definedName>
    <definedName name="wrn.변경예산." hidden="1">{#VALUE!,#N/A,FALSE,0;#N/A,#N/A,FALSE,0;#N/A,#N/A,FALSE,0;#N/A,#N/A,FALSE,0}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S" localSheetId="0">#REF!</definedName>
    <definedName name="WS">#REF!</definedName>
    <definedName name="WSA" localSheetId="0">#REF!</definedName>
    <definedName name="WSA">#REF!</definedName>
    <definedName name="WT">#REF!</definedName>
    <definedName name="Wtest" localSheetId="0">#REF!</definedName>
    <definedName name="Wtest">#REF!</definedName>
    <definedName name="Wtest1">#REF!</definedName>
    <definedName name="Wtest2">#REF!</definedName>
    <definedName name="WTOT">#REF!</definedName>
    <definedName name="XX" localSheetId="0">#REF!</definedName>
    <definedName name="XX">#REF!</definedName>
    <definedName name="YU" localSheetId="0">#REF!</definedName>
    <definedName name="YU">#REF!</definedName>
    <definedName name="z">#REF!</definedName>
    <definedName name="Z_01F76B44_B3BD_4191_9E88_77A7B5CB4293_.wvu.Cols" hidden="1">#REF!</definedName>
    <definedName name="Z_18B48267_98B1_45A6_9528_52BFD8A7D248_.wvu.Cols" hidden="1">#REF!</definedName>
    <definedName name="Z_18B48267_98B1_45A6_9528_52BFD8A7D248_.wvu.Rows" hidden="1">#REF!</definedName>
    <definedName name="Z_39D58EDC_ABD1_47AE_93DD_6C1B716748D8_.wvu.Cols" hidden="1">#REF!</definedName>
    <definedName name="Z_39D58EDC_ABD1_47AE_93DD_6C1B716748D8_.wvu.Rows" hidden="1">#REF!</definedName>
    <definedName name="Z_A233D346_2F1B_40EC_8438_B0069D29ED74_.wvu.Cols" hidden="1">#REF!</definedName>
    <definedName name="Z_A233D346_2F1B_40EC_8438_B0069D29ED74_.wvu.Rows" hidden="1">#REF!</definedName>
    <definedName name="Z_F861AF91_E2FB_42DB_962D_0B9CE58B5E71_.wvu.Cols" hidden="1">#REF!</definedName>
    <definedName name="Z_F861AF91_E2FB_42DB_962D_0B9CE58B5E71_.wvu.Rows" hidden="1">#REF!</definedName>
    <definedName name="Zp" localSheetId="0">#REF!</definedName>
    <definedName name="Zp">#REF!</definedName>
    <definedName name="Zpp">#REF!</definedName>
    <definedName name="ZPPX">#REF!</definedName>
    <definedName name="ZPPY">#REF!</definedName>
    <definedName name="ZPPZ" localSheetId="0">#REF!</definedName>
    <definedName name="ZPPZ">#REF!</definedName>
    <definedName name="Zx">#REF!</definedName>
    <definedName name="Zy">#REF!</definedName>
    <definedName name="ZZ">#REF!</definedName>
    <definedName name="γc">#REF!</definedName>
    <definedName name="γs">#REF!</definedName>
    <definedName name="τv">#REF!</definedName>
    <definedName name="ز5">#REF!</definedName>
    <definedName name="ض" localSheetId="0" hidden="1">#REF!</definedName>
    <definedName name="ض" hidden="1">#REF!</definedName>
    <definedName name="مهدي">#REF!</definedName>
    <definedName name="نام" localSheetId="0">#REF!</definedName>
    <definedName name="نام">#REF!</definedName>
    <definedName name="هطâنآتçتوموآèآ" localSheetId="0">#REF!</definedName>
    <definedName name="هطâنآتçتوموآèآ">#REF!</definedName>
    <definedName name="ㄱ">#REF!</definedName>
    <definedName name="가">#REF!</definedName>
    <definedName name="개산분기계1">#REF!</definedName>
    <definedName name="개산분토목1">#REF!</definedName>
    <definedName name="건기" localSheetId="0" hidden="1">{#N/A,#N/A,FALSE,"사업총괄";#N/A,#N/A,FALSE,"장비사업";#N/A,#N/A,FALSE,"철구사업";#N/A,#N/A,FALSE,"준설사업"}</definedName>
    <definedName name="건기" hidden="1">{#N/A,#N/A,FALSE,"사업총괄";#N/A,#N/A,FALSE,"장비사업";#N/A,#N/A,FALSE,"철구사업";#N/A,#N/A,FALSE,"준설사업"}</definedName>
    <definedName name="건기2" localSheetId="0" hidden="1">{#N/A,#N/A,FALSE,"사업총괄";#N/A,#N/A,FALSE,"장비사업";#N/A,#N/A,FALSE,"철구사업";#N/A,#N/A,FALSE,"준설사업"}</definedName>
    <definedName name="건기2" hidden="1">{#N/A,#N/A,FALSE,"사업총괄";#N/A,#N/A,FALSE,"장비사업";#N/A,#N/A,FALSE,"철구사업";#N/A,#N/A,FALSE,"준설사업"}</definedName>
    <definedName name="건설기계새로움" localSheetId="0" hidden="1">{#VALUE!,#N/A,FALSE,0;#N/A,#N/A,FALSE,0;#N/A,#N/A,FALSE,0;#N/A,#N/A,FALSE,0}</definedName>
    <definedName name="건설기계새로움" hidden="1">{#VALUE!,#N/A,FALSE,0;#N/A,#N/A,FALSE,0;#N/A,#N/A,FALSE,0;#N/A,#N/A,FALSE,0}</definedName>
    <definedName name="견적">#REF!</definedName>
    <definedName name="경비조정중기">#REF!</definedName>
    <definedName name="공사손익.중국">#REF!</definedName>
    <definedName name="김은철" localSheetId="0" hidden="1">{#N/A,#N/A,FALSE,"예상손익";#N/A,#N/A,FALSE,"관리분석";#N/A,#N/A,FALSE,"장비분석";#N/A,#N/A,FALSE,"준설분석";#N/A,#N/A,FALSE,"철구분석"}</definedName>
    <definedName name="김은철" hidden="1">{#N/A,#N/A,FALSE,"예상손익";#N/A,#N/A,FALSE,"관리분석";#N/A,#N/A,FALSE,"장비분석";#N/A,#N/A,FALSE,"준설분석";#N/A,#N/A,FALSE,"철구분석"}</definedName>
    <definedName name="ㄴ">#REF!</definedName>
    <definedName name="나">#REF!</definedName>
    <definedName name="ㄷ">#REF!</definedName>
    <definedName name="ㄷㄹ1">#REF!</definedName>
    <definedName name="다">#REF!</definedName>
    <definedName name="ㄹ">#REF!</definedName>
    <definedName name="라">#REF!</definedName>
    <definedName name="ㅁ">#REF!</definedName>
    <definedName name="마">#REF!</definedName>
    <definedName name="ㅂ">#REF!</definedName>
    <definedName name="바">#REF!</definedName>
    <definedName name="보통인부노" localSheetId="0">#REF!</definedName>
    <definedName name="보통인부노">#REF!</definedName>
    <definedName name="분석표" localSheetId="0" hidden="1">{#N/A,#N/A,FALSE,"사업총괄";#N/A,#N/A,FALSE,"장비사업";#N/A,#N/A,FALSE,"철구사업";#N/A,#N/A,FALSE,"준설사업"}</definedName>
    <definedName name="분석표" hidden="1">{#N/A,#N/A,FALSE,"사업총괄";#N/A,#N/A,FALSE,"장비사업";#N/A,#N/A,FALSE,"철구사업";#N/A,#N/A,FALSE,"준설사업"}</definedName>
    <definedName name="사">#REF!</definedName>
    <definedName name="상각비2" hidden="1">#REF!</definedName>
    <definedName name="상하이IIP" localSheetId="0" hidden="1">{#N/A,#N/A,FALSE,"예상손익";#N/A,#N/A,FALSE,"관리분석";#N/A,#N/A,FALSE,"장비분석";#N/A,#N/A,FALSE,"준설분석";#N/A,#N/A,FALSE,"철구분석"}</definedName>
    <definedName name="상하이IIP" hidden="1">{#N/A,#N/A,FALSE,"예상손익";#N/A,#N/A,FALSE,"관리분석";#N/A,#N/A,FALSE,"장비분석";#N/A,#N/A,FALSE,"준설분석";#N/A,#N/A,FALSE,"철구분석"}</definedName>
    <definedName name="새이름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새이름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설계속도">#REF!</definedName>
    <definedName name="시험편">#REF!</definedName>
    <definedName name="ㅇㄱ1">#REF!</definedName>
    <definedName name="아">#REF!</definedName>
    <definedName name="아스팔트">#REF!</definedName>
    <definedName name="아연도28C" localSheetId="0">#REF!</definedName>
    <definedName name="아연도28C">#REF!</definedName>
    <definedName name="윙비트6" localSheetId="0">#REF!</definedName>
    <definedName name="윙비트6">#REF!</definedName>
    <definedName name="ㅈㅈ" localSheetId="0">ROUND(Settings!ㅈㅈ*0.0254,3)</definedName>
    <definedName name="ㅈㅈ">ROUND(Settings!ㅈㅈ*0.0254,3)</definedName>
    <definedName name="잔액">#REF!</definedName>
    <definedName name="저압케이블공노" localSheetId="0">#REF!</definedName>
    <definedName name="저압케이블공노">#REF!</definedName>
    <definedName name="정류기" localSheetId="0">#REF!</definedName>
    <definedName name="정류기">#REF!</definedName>
    <definedName name="정류기재" localSheetId="0">#REF!</definedName>
    <definedName name="정류기재">#REF!</definedName>
    <definedName name="조가선재" localSheetId="0">#REF!</definedName>
    <definedName name="조가선재">#REF!</definedName>
    <definedName name="조견표1" localSheetId="0" hidden="1">{#N/A,#N/A,FALSE,"예상손익";#N/A,#N/A,FALSE,"관리분석";#N/A,#N/A,FALSE,"장비분석";#N/A,#N/A,FALSE,"준설분석";#N/A,#N/A,FALSE,"철구분석"}</definedName>
    <definedName name="조견표1" hidden="1">{#N/A,#N/A,FALSE,"예상손익";#N/A,#N/A,FALSE,"관리분석";#N/A,#N/A,FALSE,"장비분석";#N/A,#N/A,FALSE,"준설분석";#N/A,#N/A,FALSE,"철구분석"}</definedName>
    <definedName name="중기운전사">#REF!</definedName>
    <definedName name="착정">#REF!</definedName>
    <definedName name="참고자료" localSheetId="0" hidden="1">{#VALUE!,#N/A,FALSE,0;#N/A,#N/A,FALSE,0;#N/A,#N/A,FALSE,0;#N/A,#N/A,FALSE,0}</definedName>
    <definedName name="참고자료" hidden="1">{#VALUE!,#N/A,FALSE,0;#N/A,#N/A,FALSE,0;#N/A,#N/A,FALSE,0;#N/A,#N/A,FALSE,0}</definedName>
    <definedName name="철골" localSheetId="0">ROUND(Settings!철골*0.0254,3)</definedName>
    <definedName name="철골">ROUND(Settings!철골*0.0254,3)</definedName>
    <definedName name="측정함">#REF!</definedName>
    <definedName name="케이블공노" localSheetId="0">#REF!</definedName>
    <definedName name="케이블공노">#REF!</definedName>
    <definedName name="콘크리트">#REF!</definedName>
    <definedName name="콤프">#REF!</definedName>
    <definedName name="플랜트노" localSheetId="0">#REF!</definedName>
    <definedName name="플랜트노">#REF!</definedName>
    <definedName name="한동준" localSheetId="0" hidden="1">{#N/A,#N/A,FALSE,"사업총괄";#N/A,#N/A,FALSE,"장비사업";#N/A,#N/A,FALSE,"철구사업";#N/A,#N/A,FALSE,"준설사업"}</definedName>
    <definedName name="한동준" hidden="1">{#N/A,#N/A,FALSE,"사업총괄";#N/A,#N/A,FALSE,"장비사업";#N/A,#N/A,FALSE,"철구사업";#N/A,#N/A,FALSE,"준설사업"}</definedName>
    <definedName name="합계">#REF!</definedName>
    <definedName name="해ㅐㅇ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해ㅐㅇ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ㅏㅓㄹ" localSheetId="0">ROUND(Settings!ㅏㅓㄹ*0.0254,3)</definedName>
    <definedName name="ㅏㅓㄹ">ROUND(Settings!ㅏㅓㄹ*0.0254,3)</definedName>
    <definedName name="ㅠ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41" l="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J8" i="41"/>
  <c r="BJ9" i="41"/>
  <c r="BJ10" i="41"/>
  <c r="BJ11" i="41"/>
  <c r="BJ12" i="41"/>
  <c r="BJ13" i="41"/>
  <c r="BJ14" i="41"/>
  <c r="BJ15" i="41"/>
  <c r="BJ16" i="41"/>
  <c r="BJ17" i="41"/>
  <c r="BJ18" i="41"/>
  <c r="BJ19" i="41"/>
  <c r="BJ20" i="41"/>
  <c r="BJ21" i="41"/>
  <c r="BJ22" i="41"/>
  <c r="BJ23" i="41"/>
  <c r="BJ24" i="41"/>
  <c r="BJ25" i="41"/>
  <c r="BJ26" i="41"/>
  <c r="BJ27" i="41"/>
  <c r="BJ28" i="41"/>
  <c r="BJ29" i="41"/>
  <c r="BJ30" i="41"/>
  <c r="BJ31" i="41"/>
  <c r="BJ32" i="41"/>
  <c r="BJ33" i="41"/>
  <c r="BJ34" i="41"/>
  <c r="BJ35" i="41"/>
  <c r="BJ36" i="41"/>
  <c r="BJ37" i="41"/>
  <c r="BJ38" i="41"/>
  <c r="BJ39" i="41"/>
  <c r="BJ40" i="41"/>
  <c r="BJ41" i="41"/>
  <c r="BJ7" i="41"/>
  <c r="AM49" i="31"/>
  <c r="AP49" i="31" s="1"/>
  <c r="P41" i="41" s="1"/>
  <c r="AN49" i="31"/>
  <c r="CM41" i="41"/>
  <c r="CL41" i="41"/>
  <c r="CD41" i="41"/>
  <c r="CC41" i="41"/>
  <c r="CB41" i="41"/>
  <c r="CA41" i="41"/>
  <c r="BY41" i="41"/>
  <c r="BX41" i="41"/>
  <c r="BW41" i="41"/>
  <c r="BV41" i="41"/>
  <c r="BU41" i="41"/>
  <c r="BT41" i="41"/>
  <c r="BS41" i="41"/>
  <c r="BR41" i="41"/>
  <c r="BQ41" i="41"/>
  <c r="BD41" i="41"/>
  <c r="AH41" i="41" a="1"/>
  <c r="AF41" i="41" a="1"/>
  <c r="AE41" i="41" a="1"/>
  <c r="O41" i="41"/>
  <c r="N41" i="41"/>
  <c r="M41" i="41"/>
  <c r="L41" i="41"/>
  <c r="K41" i="41"/>
  <c r="J41" i="41"/>
  <c r="I41" i="41"/>
  <c r="AM41" i="41" s="1" a="1"/>
  <c r="H41" i="41"/>
  <c r="AG41" i="41" s="1" a="1"/>
  <c r="CO41" i="41" s="1"/>
  <c r="G41" i="41"/>
  <c r="E41" i="41"/>
  <c r="D41" i="41"/>
  <c r="BL41" i="41" s="1"/>
  <c r="C41" i="41"/>
  <c r="A41" i="41"/>
  <c r="CM40" i="41"/>
  <c r="CL40" i="41"/>
  <c r="CD40" i="41"/>
  <c r="CC40" i="41"/>
  <c r="CB40" i="41"/>
  <c r="CA40" i="41"/>
  <c r="BY40" i="41"/>
  <c r="BX40" i="41"/>
  <c r="BW40" i="41"/>
  <c r="BV40" i="41"/>
  <c r="BU40" i="41"/>
  <c r="BT40" i="41"/>
  <c r="BS40" i="41"/>
  <c r="BR40" i="41"/>
  <c r="BQ40" i="41"/>
  <c r="BD40" i="41"/>
  <c r="AH40" i="41" a="1"/>
  <c r="AF40" i="41" a="1"/>
  <c r="AE40" i="41" a="1"/>
  <c r="O40" i="41"/>
  <c r="L40" i="41"/>
  <c r="K40" i="41"/>
  <c r="J40" i="41"/>
  <c r="I40" i="41"/>
  <c r="AM40" i="41" s="1" a="1"/>
  <c r="H40" i="41"/>
  <c r="AG40" i="41" s="1" a="1"/>
  <c r="CO40" i="41" s="1"/>
  <c r="G40" i="41"/>
  <c r="E40" i="41"/>
  <c r="D40" i="41"/>
  <c r="BL40" i="41" s="1"/>
  <c r="C40" i="41"/>
  <c r="A40" i="41"/>
  <c r="CM39" i="41"/>
  <c r="CL39" i="41"/>
  <c r="CD39" i="41"/>
  <c r="CC39" i="41"/>
  <c r="CB39" i="41"/>
  <c r="CA39" i="41"/>
  <c r="BY39" i="41"/>
  <c r="BX39" i="41"/>
  <c r="BW39" i="41"/>
  <c r="BV39" i="41"/>
  <c r="BU39" i="41"/>
  <c r="BT39" i="41"/>
  <c r="BS39" i="41"/>
  <c r="BR39" i="41"/>
  <c r="BQ39" i="41"/>
  <c r="BD39" i="41"/>
  <c r="AH39" i="41" a="1"/>
  <c r="AF39" i="41" a="1"/>
  <c r="AE39" i="41" a="1"/>
  <c r="O39" i="41"/>
  <c r="L39" i="41"/>
  <c r="K39" i="41"/>
  <c r="J39" i="41"/>
  <c r="I39" i="41"/>
  <c r="AM39" i="41" s="1" a="1"/>
  <c r="H39" i="41"/>
  <c r="AG39" i="41" s="1" a="1"/>
  <c r="CO39" i="41" s="1"/>
  <c r="G39" i="41"/>
  <c r="E39" i="41"/>
  <c r="D39" i="41"/>
  <c r="BL39" i="41" s="1"/>
  <c r="C39" i="41"/>
  <c r="A39" i="41"/>
  <c r="CM38" i="41"/>
  <c r="CL38" i="41"/>
  <c r="CD38" i="41"/>
  <c r="CC38" i="41"/>
  <c r="CB38" i="41"/>
  <c r="CA38" i="41"/>
  <c r="BY38" i="41"/>
  <c r="BX38" i="41"/>
  <c r="BW38" i="41"/>
  <c r="BV38" i="41"/>
  <c r="BU38" i="41"/>
  <c r="BT38" i="41"/>
  <c r="BS38" i="41"/>
  <c r="BR38" i="41"/>
  <c r="BQ38" i="41"/>
  <c r="BD38" i="41"/>
  <c r="AH38" i="41" a="1"/>
  <c r="AF38" i="41" a="1"/>
  <c r="AE38" i="41" a="1"/>
  <c r="O38" i="41"/>
  <c r="L38" i="41"/>
  <c r="K38" i="41"/>
  <c r="J38" i="41"/>
  <c r="I38" i="41"/>
  <c r="AM38" i="41" s="1" a="1"/>
  <c r="H38" i="41"/>
  <c r="AG38" i="41" s="1" a="1"/>
  <c r="CO38" i="41" s="1"/>
  <c r="G38" i="41"/>
  <c r="E38" i="41"/>
  <c r="D38" i="41"/>
  <c r="BL38" i="41" s="1"/>
  <c r="C38" i="41"/>
  <c r="A38" i="41"/>
  <c r="CM37" i="41"/>
  <c r="CL37" i="41"/>
  <c r="CD37" i="41"/>
  <c r="CC37" i="41"/>
  <c r="CB37" i="41"/>
  <c r="CA37" i="41"/>
  <c r="BY37" i="41"/>
  <c r="BX37" i="41"/>
  <c r="BW37" i="41"/>
  <c r="BV37" i="41"/>
  <c r="BU37" i="41"/>
  <c r="BT37" i="41"/>
  <c r="BS37" i="41"/>
  <c r="BR37" i="41"/>
  <c r="BQ37" i="41"/>
  <c r="BD37" i="41"/>
  <c r="AH37" i="41" a="1"/>
  <c r="AF37" i="41" a="1"/>
  <c r="AE37" i="41" a="1"/>
  <c r="O37" i="41"/>
  <c r="N37" i="41"/>
  <c r="M37" i="41"/>
  <c r="L37" i="41"/>
  <c r="K37" i="41"/>
  <c r="J37" i="41"/>
  <c r="I37" i="41"/>
  <c r="AM37" i="41" s="1" a="1"/>
  <c r="H37" i="41"/>
  <c r="AG37" i="41" s="1" a="1"/>
  <c r="CO37" i="41" s="1"/>
  <c r="G37" i="41"/>
  <c r="E37" i="41"/>
  <c r="D37" i="41"/>
  <c r="BL37" i="41" s="1"/>
  <c r="C37" i="41"/>
  <c r="A37" i="41"/>
  <c r="CM36" i="41"/>
  <c r="CL36" i="41"/>
  <c r="CD36" i="41"/>
  <c r="CC36" i="41"/>
  <c r="CB36" i="41"/>
  <c r="CA36" i="41"/>
  <c r="BY36" i="41"/>
  <c r="BX36" i="41"/>
  <c r="BW36" i="41"/>
  <c r="BV36" i="41"/>
  <c r="BU36" i="41"/>
  <c r="BT36" i="41"/>
  <c r="BS36" i="41"/>
  <c r="BR36" i="41"/>
  <c r="BQ36" i="41"/>
  <c r="BD36" i="41"/>
  <c r="AH36" i="41" a="1"/>
  <c r="AF36" i="41" a="1"/>
  <c r="AE36" i="41" a="1"/>
  <c r="O36" i="41"/>
  <c r="L36" i="41"/>
  <c r="K36" i="41"/>
  <c r="J36" i="41"/>
  <c r="I36" i="41"/>
  <c r="AM36" i="41" s="1" a="1"/>
  <c r="H36" i="41"/>
  <c r="AG36" i="41" s="1" a="1"/>
  <c r="CO36" i="41" s="1"/>
  <c r="G36" i="41"/>
  <c r="E36" i="41"/>
  <c r="D36" i="41"/>
  <c r="BL36" i="41" s="1"/>
  <c r="C36" i="41"/>
  <c r="A36" i="41"/>
  <c r="CM35" i="41"/>
  <c r="CL35" i="41"/>
  <c r="CD35" i="41"/>
  <c r="CC35" i="41"/>
  <c r="CB35" i="41"/>
  <c r="CA35" i="41"/>
  <c r="BY35" i="41"/>
  <c r="BX35" i="41"/>
  <c r="BW35" i="41"/>
  <c r="BV35" i="41"/>
  <c r="BU35" i="41"/>
  <c r="BT35" i="41"/>
  <c r="BS35" i="41"/>
  <c r="BR35" i="41"/>
  <c r="BQ35" i="41"/>
  <c r="BD35" i="41"/>
  <c r="AH35" i="41" a="1"/>
  <c r="AF35" i="41" a="1"/>
  <c r="AE35" i="41" a="1"/>
  <c r="O35" i="41"/>
  <c r="L35" i="41"/>
  <c r="K35" i="41"/>
  <c r="J35" i="41"/>
  <c r="I35" i="41"/>
  <c r="AM35" i="41" s="1" a="1"/>
  <c r="H35" i="41"/>
  <c r="AG35" i="41" s="1" a="1"/>
  <c r="CO35" i="41" s="1"/>
  <c r="G35" i="41"/>
  <c r="E35" i="41"/>
  <c r="D35" i="41"/>
  <c r="BL35" i="41" s="1"/>
  <c r="C35" i="41"/>
  <c r="A35" i="41"/>
  <c r="CM34" i="41"/>
  <c r="CL34" i="41"/>
  <c r="CD34" i="41"/>
  <c r="CC34" i="41"/>
  <c r="CB34" i="41"/>
  <c r="CA34" i="41"/>
  <c r="BY34" i="41"/>
  <c r="BX34" i="41"/>
  <c r="BW34" i="41"/>
  <c r="BV34" i="41"/>
  <c r="BU34" i="41"/>
  <c r="BT34" i="41"/>
  <c r="BS34" i="41"/>
  <c r="BR34" i="41"/>
  <c r="BQ34" i="41"/>
  <c r="BD34" i="41"/>
  <c r="AH34" i="41" a="1"/>
  <c r="AF34" i="41" a="1"/>
  <c r="AE34" i="41" a="1"/>
  <c r="O34" i="41"/>
  <c r="L34" i="41"/>
  <c r="K34" i="41"/>
  <c r="J34" i="41"/>
  <c r="I34" i="41"/>
  <c r="AM34" i="41" s="1" a="1"/>
  <c r="H34" i="41"/>
  <c r="AG34" i="41" s="1" a="1"/>
  <c r="CO34" i="41" s="1"/>
  <c r="G34" i="41"/>
  <c r="E34" i="41"/>
  <c r="D34" i="41"/>
  <c r="BL34" i="41" s="1"/>
  <c r="C34" i="41"/>
  <c r="A34" i="41"/>
  <c r="CM33" i="41"/>
  <c r="CL33" i="41"/>
  <c r="CD33" i="41"/>
  <c r="CC33" i="41"/>
  <c r="CB33" i="41"/>
  <c r="CA33" i="41"/>
  <c r="BY33" i="41"/>
  <c r="BX33" i="41"/>
  <c r="BW33" i="41"/>
  <c r="BV33" i="41"/>
  <c r="BU33" i="41"/>
  <c r="BT33" i="41"/>
  <c r="BS33" i="41"/>
  <c r="BR33" i="41"/>
  <c r="BQ33" i="41"/>
  <c r="BD33" i="41"/>
  <c r="AH33" i="41" a="1"/>
  <c r="AF33" i="41" a="1"/>
  <c r="AE33" i="41" a="1"/>
  <c r="O33" i="41"/>
  <c r="M33" i="41"/>
  <c r="L33" i="41"/>
  <c r="K33" i="41"/>
  <c r="J33" i="41"/>
  <c r="I33" i="41"/>
  <c r="AM33" i="41" s="1" a="1"/>
  <c r="H33" i="41"/>
  <c r="AG33" i="41" s="1" a="1"/>
  <c r="CO33" i="41" s="1"/>
  <c r="G33" i="41"/>
  <c r="E33" i="41"/>
  <c r="D33" i="41"/>
  <c r="BL33" i="41" s="1"/>
  <c r="C33" i="41"/>
  <c r="A33" i="41"/>
  <c r="CM32" i="41"/>
  <c r="CL32" i="41"/>
  <c r="CD32" i="41"/>
  <c r="CC32" i="41"/>
  <c r="CB32" i="41"/>
  <c r="CA32" i="41"/>
  <c r="BY32" i="41"/>
  <c r="BX32" i="41"/>
  <c r="BW32" i="41"/>
  <c r="BV32" i="41"/>
  <c r="BU32" i="41"/>
  <c r="BT32" i="41"/>
  <c r="BS32" i="41"/>
  <c r="BR32" i="41"/>
  <c r="BQ32" i="41"/>
  <c r="BD32" i="41"/>
  <c r="AH32" i="41" a="1"/>
  <c r="AF32" i="41" a="1"/>
  <c r="AE32" i="41" a="1"/>
  <c r="O32" i="41"/>
  <c r="L32" i="41"/>
  <c r="K32" i="41"/>
  <c r="J32" i="41"/>
  <c r="I32" i="41"/>
  <c r="AM32" i="41" s="1" a="1"/>
  <c r="H32" i="41"/>
  <c r="AG32" i="41" s="1" a="1"/>
  <c r="CO32" i="41" s="1"/>
  <c r="G32" i="41"/>
  <c r="E32" i="41"/>
  <c r="D32" i="41"/>
  <c r="BL32" i="41" s="1"/>
  <c r="C32" i="41"/>
  <c r="A32" i="41"/>
  <c r="CM31" i="41"/>
  <c r="CL31" i="41"/>
  <c r="CD31" i="41"/>
  <c r="CC31" i="41"/>
  <c r="CB31" i="41"/>
  <c r="CA31" i="41"/>
  <c r="BY31" i="41"/>
  <c r="BX31" i="41"/>
  <c r="BW31" i="41"/>
  <c r="BV31" i="41"/>
  <c r="BU31" i="41"/>
  <c r="BT31" i="41"/>
  <c r="BS31" i="41"/>
  <c r="BR31" i="41"/>
  <c r="BQ31" i="41"/>
  <c r="BD31" i="41"/>
  <c r="AH31" i="41" a="1"/>
  <c r="AF31" i="41" a="1"/>
  <c r="AE31" i="41" a="1"/>
  <c r="O31" i="41"/>
  <c r="L31" i="41"/>
  <c r="K31" i="41"/>
  <c r="J31" i="41"/>
  <c r="I31" i="41"/>
  <c r="AM31" i="41" s="1" a="1"/>
  <c r="H31" i="41"/>
  <c r="AG31" i="41" s="1" a="1"/>
  <c r="CO31" i="41" s="1"/>
  <c r="G31" i="41"/>
  <c r="E31" i="41"/>
  <c r="D31" i="41"/>
  <c r="BL31" i="41" s="1"/>
  <c r="C31" i="41"/>
  <c r="A31" i="41"/>
  <c r="CM30" i="41"/>
  <c r="CL30" i="41"/>
  <c r="CD30" i="41"/>
  <c r="CC30" i="41"/>
  <c r="CB30" i="41"/>
  <c r="CA30" i="41"/>
  <c r="BY30" i="41"/>
  <c r="BX30" i="41"/>
  <c r="BW30" i="41"/>
  <c r="BV30" i="41"/>
  <c r="BU30" i="41"/>
  <c r="BT30" i="41"/>
  <c r="BS30" i="41"/>
  <c r="BR30" i="41"/>
  <c r="BQ30" i="41"/>
  <c r="BD30" i="41"/>
  <c r="AH30" i="41" a="1"/>
  <c r="AF30" i="41" a="1"/>
  <c r="AE30" i="41" a="1"/>
  <c r="O30" i="41"/>
  <c r="L30" i="41"/>
  <c r="K30" i="41"/>
  <c r="J30" i="41"/>
  <c r="I30" i="41"/>
  <c r="AM30" i="41" s="1" a="1"/>
  <c r="H30" i="41"/>
  <c r="AG30" i="41" s="1" a="1"/>
  <c r="CO30" i="41" s="1"/>
  <c r="G30" i="41"/>
  <c r="E30" i="41"/>
  <c r="D30" i="41"/>
  <c r="BL30" i="41" s="1"/>
  <c r="C30" i="41"/>
  <c r="A30" i="41"/>
  <c r="CM29" i="41"/>
  <c r="CL29" i="41"/>
  <c r="CD29" i="41"/>
  <c r="CC29" i="41"/>
  <c r="CB29" i="41"/>
  <c r="CA29" i="41"/>
  <c r="BY29" i="41"/>
  <c r="BX29" i="41"/>
  <c r="BW29" i="41"/>
  <c r="BV29" i="41"/>
  <c r="BU29" i="41"/>
  <c r="BT29" i="41"/>
  <c r="BS29" i="41"/>
  <c r="BR29" i="41"/>
  <c r="BQ29" i="41"/>
  <c r="BD29" i="41"/>
  <c r="AH29" i="41" a="1"/>
  <c r="AF29" i="41" a="1"/>
  <c r="AE29" i="41" a="1"/>
  <c r="O29" i="41"/>
  <c r="L29" i="41"/>
  <c r="K29" i="41"/>
  <c r="J29" i="41"/>
  <c r="I29" i="41"/>
  <c r="AM29" i="41" s="1" a="1"/>
  <c r="H29" i="41"/>
  <c r="AG29" i="41" s="1" a="1"/>
  <c r="CO29" i="41" s="1"/>
  <c r="G29" i="41"/>
  <c r="E29" i="41"/>
  <c r="D29" i="41"/>
  <c r="BL29" i="41" s="1"/>
  <c r="C29" i="41"/>
  <c r="A29" i="41"/>
  <c r="CM28" i="41"/>
  <c r="CL28" i="41"/>
  <c r="CD28" i="41"/>
  <c r="CC28" i="41"/>
  <c r="CB28" i="41"/>
  <c r="CA28" i="41"/>
  <c r="BY28" i="41"/>
  <c r="BX28" i="41"/>
  <c r="BW28" i="41"/>
  <c r="BV28" i="41"/>
  <c r="BU28" i="41"/>
  <c r="BT28" i="41"/>
  <c r="BS28" i="41"/>
  <c r="BR28" i="41"/>
  <c r="BQ28" i="41"/>
  <c r="BD28" i="41"/>
  <c r="AH28" i="41" a="1"/>
  <c r="AF28" i="41" a="1"/>
  <c r="AE28" i="41" a="1"/>
  <c r="O28" i="41"/>
  <c r="L28" i="41"/>
  <c r="K28" i="41"/>
  <c r="J28" i="41"/>
  <c r="I28" i="41"/>
  <c r="AM28" i="41" s="1" a="1"/>
  <c r="H28" i="41"/>
  <c r="AG28" i="41" s="1" a="1"/>
  <c r="CO28" i="41" s="1"/>
  <c r="G28" i="41"/>
  <c r="E28" i="41"/>
  <c r="D28" i="41"/>
  <c r="BL28" i="41" s="1"/>
  <c r="C28" i="41"/>
  <c r="A28" i="41"/>
  <c r="CM27" i="41"/>
  <c r="CL27" i="41"/>
  <c r="CD27" i="41"/>
  <c r="CC27" i="41"/>
  <c r="CB27" i="41"/>
  <c r="CA27" i="41"/>
  <c r="BY27" i="41"/>
  <c r="BX27" i="41"/>
  <c r="BW27" i="41"/>
  <c r="BV27" i="41"/>
  <c r="BU27" i="41"/>
  <c r="BT27" i="41"/>
  <c r="BS27" i="41"/>
  <c r="BR27" i="41"/>
  <c r="BQ27" i="41"/>
  <c r="BD27" i="41"/>
  <c r="AH27" i="41" a="1"/>
  <c r="AF27" i="41" a="1"/>
  <c r="AE27" i="41" a="1"/>
  <c r="O27" i="41"/>
  <c r="L27" i="41"/>
  <c r="K27" i="41"/>
  <c r="J27" i="41"/>
  <c r="I27" i="41"/>
  <c r="AM27" i="41" s="1" a="1"/>
  <c r="H27" i="41"/>
  <c r="AG27" i="41" s="1" a="1"/>
  <c r="CO27" i="41" s="1"/>
  <c r="G27" i="41"/>
  <c r="E27" i="41"/>
  <c r="D27" i="41"/>
  <c r="BL27" i="41" s="1"/>
  <c r="C27" i="41"/>
  <c r="A27" i="41"/>
  <c r="CM26" i="41"/>
  <c r="CL26" i="41"/>
  <c r="CD26" i="41"/>
  <c r="CC26" i="41"/>
  <c r="CB26" i="41"/>
  <c r="CA26" i="41"/>
  <c r="BY26" i="41"/>
  <c r="BX26" i="41"/>
  <c r="BW26" i="41"/>
  <c r="BV26" i="41"/>
  <c r="BU26" i="41"/>
  <c r="BT26" i="41"/>
  <c r="BS26" i="41"/>
  <c r="BR26" i="41"/>
  <c r="BQ26" i="41"/>
  <c r="BD26" i="41"/>
  <c r="AH26" i="41" a="1"/>
  <c r="AF26" i="41" a="1"/>
  <c r="AE26" i="41" a="1"/>
  <c r="O26" i="41"/>
  <c r="L26" i="41"/>
  <c r="K26" i="41"/>
  <c r="J26" i="41"/>
  <c r="I26" i="41"/>
  <c r="AM26" i="41" s="1" a="1"/>
  <c r="H26" i="41"/>
  <c r="AG26" i="41" s="1" a="1"/>
  <c r="CO26" i="41" s="1"/>
  <c r="G26" i="41"/>
  <c r="E26" i="41"/>
  <c r="D26" i="41"/>
  <c r="BL26" i="41" s="1"/>
  <c r="C26" i="41"/>
  <c r="A26" i="41"/>
  <c r="CM25" i="41"/>
  <c r="CL25" i="41"/>
  <c r="CD25" i="41"/>
  <c r="CC25" i="41"/>
  <c r="CB25" i="41"/>
  <c r="CA25" i="41"/>
  <c r="BY25" i="41"/>
  <c r="BX25" i="41"/>
  <c r="BW25" i="41"/>
  <c r="BV25" i="41"/>
  <c r="BU25" i="41"/>
  <c r="BT25" i="41"/>
  <c r="BS25" i="41"/>
  <c r="BR25" i="41"/>
  <c r="BQ25" i="41"/>
  <c r="BD25" i="41"/>
  <c r="AH25" i="41" a="1"/>
  <c r="AF25" i="41" a="1"/>
  <c r="AE25" i="41" a="1"/>
  <c r="O25" i="41"/>
  <c r="L25" i="41"/>
  <c r="K25" i="41"/>
  <c r="J25" i="41"/>
  <c r="I25" i="41"/>
  <c r="AM25" i="41" s="1" a="1"/>
  <c r="H25" i="41"/>
  <c r="AG25" i="41" s="1" a="1"/>
  <c r="CO25" i="41" s="1"/>
  <c r="G25" i="41"/>
  <c r="E25" i="41"/>
  <c r="D25" i="41"/>
  <c r="C25" i="41"/>
  <c r="A25" i="41"/>
  <c r="CM24" i="41"/>
  <c r="CL24" i="41"/>
  <c r="CD24" i="41"/>
  <c r="CC24" i="41"/>
  <c r="CB24" i="41"/>
  <c r="CA24" i="41"/>
  <c r="BY24" i="41"/>
  <c r="BX24" i="41"/>
  <c r="BW24" i="41"/>
  <c r="BV24" i="41"/>
  <c r="BU24" i="41"/>
  <c r="BT24" i="41"/>
  <c r="BS24" i="41"/>
  <c r="BR24" i="41"/>
  <c r="BQ24" i="41"/>
  <c r="BD24" i="41"/>
  <c r="AH24" i="41" a="1"/>
  <c r="AF24" i="41" a="1"/>
  <c r="AE24" i="41" a="1"/>
  <c r="O24" i="41"/>
  <c r="L24" i="41"/>
  <c r="K24" i="41"/>
  <c r="J24" i="41"/>
  <c r="I24" i="41"/>
  <c r="AM24" i="41" s="1" a="1"/>
  <c r="H24" i="41"/>
  <c r="AG24" i="41" s="1" a="1"/>
  <c r="CO24" i="41" s="1"/>
  <c r="G24" i="41"/>
  <c r="E24" i="41"/>
  <c r="D24" i="41"/>
  <c r="BL24" i="41" s="1"/>
  <c r="C24" i="41"/>
  <c r="A24" i="41"/>
  <c r="CM23" i="41"/>
  <c r="CL23" i="41"/>
  <c r="CD23" i="41"/>
  <c r="CC23" i="41"/>
  <c r="CB23" i="41"/>
  <c r="CA23" i="41"/>
  <c r="BY23" i="41"/>
  <c r="BX23" i="41"/>
  <c r="BW23" i="41"/>
  <c r="BV23" i="41"/>
  <c r="BU23" i="41"/>
  <c r="BT23" i="41"/>
  <c r="BS23" i="41"/>
  <c r="BR23" i="41"/>
  <c r="BQ23" i="41"/>
  <c r="BD23" i="41"/>
  <c r="AH23" i="41" a="1"/>
  <c r="AF23" i="41" a="1"/>
  <c r="AE23" i="41" a="1"/>
  <c r="O23" i="41"/>
  <c r="L23" i="41"/>
  <c r="K23" i="41"/>
  <c r="J23" i="41"/>
  <c r="I23" i="41"/>
  <c r="AM23" i="41" s="1" a="1"/>
  <c r="H23" i="41"/>
  <c r="AG23" i="41" s="1" a="1"/>
  <c r="CO23" i="41" s="1"/>
  <c r="G23" i="41"/>
  <c r="E23" i="41"/>
  <c r="D23" i="41"/>
  <c r="BL23" i="41" s="1"/>
  <c r="C23" i="41"/>
  <c r="A23" i="41"/>
  <c r="CM22" i="41"/>
  <c r="CL22" i="41"/>
  <c r="CD22" i="41"/>
  <c r="CC22" i="41"/>
  <c r="CB22" i="41"/>
  <c r="CA22" i="41"/>
  <c r="BY22" i="41"/>
  <c r="BX22" i="41"/>
  <c r="BW22" i="41"/>
  <c r="BV22" i="41"/>
  <c r="BU22" i="41"/>
  <c r="BT22" i="41"/>
  <c r="BS22" i="41"/>
  <c r="BR22" i="41"/>
  <c r="BQ22" i="41"/>
  <c r="BD22" i="41"/>
  <c r="AH22" i="41" a="1"/>
  <c r="AF22" i="41" a="1"/>
  <c r="AE22" i="41" a="1"/>
  <c r="O22" i="41"/>
  <c r="L22" i="41"/>
  <c r="K22" i="41"/>
  <c r="J22" i="41"/>
  <c r="I22" i="41"/>
  <c r="AM22" i="41" s="1" a="1"/>
  <c r="H22" i="41"/>
  <c r="AG22" i="41" s="1" a="1"/>
  <c r="CO22" i="41" s="1"/>
  <c r="G22" i="41"/>
  <c r="E22" i="41"/>
  <c r="D22" i="41"/>
  <c r="BL22" i="41" s="1"/>
  <c r="C22" i="41"/>
  <c r="A22" i="41"/>
  <c r="CM21" i="41"/>
  <c r="CL21" i="41"/>
  <c r="CD21" i="41"/>
  <c r="CC21" i="41"/>
  <c r="CB21" i="41"/>
  <c r="CA21" i="41"/>
  <c r="BY21" i="41"/>
  <c r="BX21" i="41"/>
  <c r="BW21" i="41"/>
  <c r="BV21" i="41"/>
  <c r="BU21" i="41"/>
  <c r="BT21" i="41"/>
  <c r="BS21" i="41"/>
  <c r="BR21" i="41"/>
  <c r="BQ21" i="41"/>
  <c r="BD21" i="41"/>
  <c r="AH21" i="41" a="1"/>
  <c r="AF21" i="41" a="1"/>
  <c r="AE21" i="41" a="1"/>
  <c r="O21" i="41"/>
  <c r="L21" i="41"/>
  <c r="K21" i="41"/>
  <c r="J21" i="41"/>
  <c r="I21" i="41"/>
  <c r="AM21" i="41" s="1" a="1"/>
  <c r="H21" i="41"/>
  <c r="AG21" i="41" s="1" a="1"/>
  <c r="CO21" i="41" s="1"/>
  <c r="G21" i="41"/>
  <c r="E21" i="41"/>
  <c r="D21" i="41"/>
  <c r="BL21" i="41" s="1"/>
  <c r="C21" i="41"/>
  <c r="A21" i="41"/>
  <c r="CM20" i="41"/>
  <c r="CL20" i="41"/>
  <c r="CD20" i="41"/>
  <c r="CC20" i="41"/>
  <c r="CB20" i="41"/>
  <c r="CA20" i="41"/>
  <c r="BY20" i="41"/>
  <c r="BX20" i="41"/>
  <c r="BW20" i="41"/>
  <c r="BV20" i="41"/>
  <c r="BU20" i="41"/>
  <c r="BT20" i="41"/>
  <c r="BS20" i="41"/>
  <c r="BR20" i="41"/>
  <c r="BQ20" i="41"/>
  <c r="BD20" i="41"/>
  <c r="AH20" i="41" a="1"/>
  <c r="AF20" i="41" a="1"/>
  <c r="AE20" i="41" a="1"/>
  <c r="O20" i="41"/>
  <c r="L20" i="41"/>
  <c r="K20" i="41"/>
  <c r="J20" i="41"/>
  <c r="I20" i="41"/>
  <c r="AM20" i="41" s="1" a="1"/>
  <c r="H20" i="41"/>
  <c r="AG20" i="41" s="1" a="1"/>
  <c r="CO20" i="41" s="1"/>
  <c r="G20" i="41"/>
  <c r="E20" i="41"/>
  <c r="D20" i="41"/>
  <c r="BL20" i="41" s="1"/>
  <c r="C20" i="41"/>
  <c r="A20" i="41"/>
  <c r="CM19" i="41"/>
  <c r="CL19" i="41"/>
  <c r="CD19" i="41"/>
  <c r="CC19" i="41"/>
  <c r="CB19" i="41"/>
  <c r="CA19" i="41"/>
  <c r="BY19" i="41"/>
  <c r="BX19" i="41"/>
  <c r="BW19" i="41"/>
  <c r="BV19" i="41"/>
  <c r="BU19" i="41"/>
  <c r="BT19" i="41"/>
  <c r="BS19" i="41"/>
  <c r="BR19" i="41"/>
  <c r="BQ19" i="41"/>
  <c r="BD19" i="41"/>
  <c r="AH19" i="41" a="1"/>
  <c r="AF19" i="41" a="1"/>
  <c r="AE19" i="41" a="1"/>
  <c r="O19" i="41"/>
  <c r="L19" i="41"/>
  <c r="K19" i="41"/>
  <c r="J19" i="41"/>
  <c r="I19" i="41"/>
  <c r="AM19" i="41" s="1" a="1"/>
  <c r="H19" i="41"/>
  <c r="AG19" i="41" s="1" a="1"/>
  <c r="CO19" i="41" s="1"/>
  <c r="G19" i="41"/>
  <c r="E19" i="41"/>
  <c r="D19" i="41"/>
  <c r="BL19" i="41" s="1"/>
  <c r="C19" i="41"/>
  <c r="A19" i="41"/>
  <c r="CM18" i="41"/>
  <c r="CL18" i="41"/>
  <c r="CD18" i="41"/>
  <c r="CC18" i="41"/>
  <c r="CB18" i="41"/>
  <c r="CA18" i="41"/>
  <c r="BY18" i="41"/>
  <c r="BX18" i="41"/>
  <c r="BW18" i="41"/>
  <c r="BV18" i="41"/>
  <c r="BU18" i="41"/>
  <c r="BT18" i="41"/>
  <c r="BS18" i="41"/>
  <c r="BR18" i="41"/>
  <c r="BQ18" i="41"/>
  <c r="BD18" i="41"/>
  <c r="AH18" i="41" a="1"/>
  <c r="AF18" i="41" a="1"/>
  <c r="AE18" i="41" a="1"/>
  <c r="O18" i="41"/>
  <c r="L18" i="41"/>
  <c r="K18" i="41"/>
  <c r="J18" i="41"/>
  <c r="I18" i="41"/>
  <c r="AM18" i="41" s="1" a="1"/>
  <c r="H18" i="41"/>
  <c r="AG18" i="41" s="1" a="1"/>
  <c r="CO18" i="41" s="1"/>
  <c r="G18" i="41"/>
  <c r="E18" i="41"/>
  <c r="D18" i="41"/>
  <c r="BL18" i="41" s="1"/>
  <c r="C18" i="41"/>
  <c r="A18" i="41"/>
  <c r="CM17" i="41"/>
  <c r="CL17" i="41"/>
  <c r="CD17" i="41"/>
  <c r="CC17" i="41"/>
  <c r="CB17" i="41"/>
  <c r="CA17" i="41"/>
  <c r="BY17" i="41"/>
  <c r="BX17" i="41"/>
  <c r="BW17" i="41"/>
  <c r="BV17" i="41"/>
  <c r="BU17" i="41"/>
  <c r="BT17" i="41"/>
  <c r="BS17" i="41"/>
  <c r="BR17" i="41"/>
  <c r="BQ17" i="41"/>
  <c r="BD17" i="41"/>
  <c r="AH17" i="41" a="1"/>
  <c r="AF17" i="41" a="1"/>
  <c r="AE17" i="41" a="1"/>
  <c r="O17" i="41"/>
  <c r="L17" i="41"/>
  <c r="K17" i="41"/>
  <c r="J17" i="41"/>
  <c r="I17" i="41"/>
  <c r="AM17" i="41" s="1" a="1"/>
  <c r="H17" i="41"/>
  <c r="AG17" i="41" s="1" a="1"/>
  <c r="CO17" i="41" s="1"/>
  <c r="G17" i="41"/>
  <c r="E17" i="41"/>
  <c r="D17" i="41"/>
  <c r="BL17" i="41" s="1"/>
  <c r="C17" i="41"/>
  <c r="A17" i="41"/>
  <c r="CM16" i="41"/>
  <c r="CL16" i="41"/>
  <c r="CD16" i="41"/>
  <c r="CC16" i="41"/>
  <c r="CB16" i="41"/>
  <c r="CA16" i="41"/>
  <c r="BY16" i="41"/>
  <c r="BX16" i="41"/>
  <c r="BW16" i="41"/>
  <c r="BV16" i="41"/>
  <c r="BU16" i="41"/>
  <c r="BT16" i="41"/>
  <c r="BS16" i="41"/>
  <c r="BR16" i="41"/>
  <c r="BQ16" i="41"/>
  <c r="BD16" i="41"/>
  <c r="AH16" i="41" a="1"/>
  <c r="AF16" i="41" a="1"/>
  <c r="AE16" i="41" a="1"/>
  <c r="O16" i="41"/>
  <c r="L16" i="41"/>
  <c r="K16" i="41"/>
  <c r="J16" i="41"/>
  <c r="I16" i="41"/>
  <c r="AM16" i="41" s="1" a="1"/>
  <c r="H16" i="41"/>
  <c r="AG16" i="41" s="1" a="1"/>
  <c r="CO16" i="41" s="1"/>
  <c r="G16" i="41"/>
  <c r="E16" i="41"/>
  <c r="D16" i="41"/>
  <c r="BL16" i="41" s="1"/>
  <c r="C16" i="41"/>
  <c r="A16" i="41"/>
  <c r="CM15" i="41"/>
  <c r="CL15" i="41"/>
  <c r="CD15" i="41"/>
  <c r="CC15" i="41"/>
  <c r="CB15" i="41"/>
  <c r="CA15" i="41"/>
  <c r="BY15" i="41"/>
  <c r="BX15" i="41"/>
  <c r="BW15" i="41"/>
  <c r="BV15" i="41"/>
  <c r="BU15" i="41"/>
  <c r="BT15" i="41"/>
  <c r="BS15" i="41"/>
  <c r="BR15" i="41"/>
  <c r="BQ15" i="41"/>
  <c r="BD15" i="41"/>
  <c r="AH15" i="41" a="1"/>
  <c r="AF15" i="41" a="1"/>
  <c r="AE15" i="41" a="1"/>
  <c r="O15" i="41"/>
  <c r="L15" i="41"/>
  <c r="K15" i="41"/>
  <c r="J15" i="41"/>
  <c r="I15" i="41"/>
  <c r="AM15" i="41" s="1" a="1"/>
  <c r="H15" i="41"/>
  <c r="AG15" i="41" s="1" a="1"/>
  <c r="CO15" i="41" s="1"/>
  <c r="G15" i="41"/>
  <c r="E15" i="41"/>
  <c r="D15" i="41"/>
  <c r="BL15" i="41" s="1"/>
  <c r="C15" i="41"/>
  <c r="A15" i="41"/>
  <c r="CM14" i="41"/>
  <c r="CL14" i="41"/>
  <c r="CD14" i="41"/>
  <c r="CC14" i="41"/>
  <c r="CB14" i="41"/>
  <c r="CA14" i="41"/>
  <c r="BY14" i="41"/>
  <c r="BX14" i="41"/>
  <c r="BW14" i="41"/>
  <c r="BV14" i="41"/>
  <c r="BU14" i="41"/>
  <c r="BT14" i="41"/>
  <c r="BS14" i="41"/>
  <c r="BR14" i="41"/>
  <c r="BQ14" i="41"/>
  <c r="BD14" i="41"/>
  <c r="AH14" i="41" a="1"/>
  <c r="AF14" i="41" a="1"/>
  <c r="AE14" i="41" a="1"/>
  <c r="O14" i="41"/>
  <c r="L14" i="41"/>
  <c r="K14" i="41"/>
  <c r="J14" i="41"/>
  <c r="I14" i="41"/>
  <c r="AM14" i="41" s="1" a="1"/>
  <c r="H14" i="41"/>
  <c r="AG14" i="41" s="1" a="1"/>
  <c r="CO14" i="41" s="1"/>
  <c r="G14" i="41"/>
  <c r="E14" i="41"/>
  <c r="D14" i="41"/>
  <c r="BL14" i="41" s="1"/>
  <c r="C14" i="41"/>
  <c r="A14" i="41"/>
  <c r="CM13" i="41"/>
  <c r="CL13" i="41"/>
  <c r="CD13" i="41"/>
  <c r="CC13" i="41"/>
  <c r="CB13" i="41"/>
  <c r="CA13" i="41"/>
  <c r="BY13" i="41"/>
  <c r="BX13" i="41"/>
  <c r="BW13" i="41"/>
  <c r="BV13" i="41"/>
  <c r="BU13" i="41"/>
  <c r="BT13" i="41"/>
  <c r="BS13" i="41"/>
  <c r="BR13" i="41"/>
  <c r="BQ13" i="41"/>
  <c r="BD13" i="41"/>
  <c r="AH13" i="41" a="1"/>
  <c r="AF13" i="41" a="1"/>
  <c r="AE13" i="41" a="1"/>
  <c r="O13" i="41"/>
  <c r="L13" i="41"/>
  <c r="K13" i="41"/>
  <c r="J13" i="41"/>
  <c r="I13" i="41"/>
  <c r="AM13" i="41" s="1" a="1"/>
  <c r="H13" i="41"/>
  <c r="AG13" i="41" s="1" a="1"/>
  <c r="CO13" i="41" s="1"/>
  <c r="G13" i="41"/>
  <c r="E13" i="41"/>
  <c r="D13" i="41"/>
  <c r="BL13" i="41" s="1"/>
  <c r="C13" i="41"/>
  <c r="A13" i="41"/>
  <c r="CM12" i="41"/>
  <c r="CL12" i="41"/>
  <c r="CD12" i="41"/>
  <c r="CC12" i="41"/>
  <c r="CB12" i="41"/>
  <c r="CA12" i="41"/>
  <c r="BY12" i="41"/>
  <c r="BX12" i="41"/>
  <c r="BW12" i="41"/>
  <c r="BV12" i="41"/>
  <c r="BU12" i="41"/>
  <c r="BT12" i="41"/>
  <c r="BS12" i="41"/>
  <c r="BR12" i="41"/>
  <c r="BQ12" i="41"/>
  <c r="BD12" i="41"/>
  <c r="AH12" i="41" a="1"/>
  <c r="AF12" i="41" a="1"/>
  <c r="AE12" i="41" a="1"/>
  <c r="O12" i="41"/>
  <c r="L12" i="41"/>
  <c r="K12" i="41"/>
  <c r="J12" i="41"/>
  <c r="I12" i="41"/>
  <c r="AM12" i="41" s="1" a="1"/>
  <c r="H12" i="41"/>
  <c r="AG12" i="41" s="1" a="1"/>
  <c r="CO12" i="41" s="1"/>
  <c r="G12" i="41"/>
  <c r="E12" i="41"/>
  <c r="D12" i="41"/>
  <c r="BL12" i="41" s="1"/>
  <c r="C12" i="41"/>
  <c r="A12" i="41"/>
  <c r="CM11" i="41"/>
  <c r="CL11" i="41"/>
  <c r="CD11" i="41"/>
  <c r="CC11" i="41"/>
  <c r="CB11" i="41"/>
  <c r="CA11" i="41"/>
  <c r="BY11" i="41"/>
  <c r="BX11" i="41"/>
  <c r="BW11" i="41"/>
  <c r="BV11" i="41"/>
  <c r="BU11" i="41"/>
  <c r="BT11" i="41"/>
  <c r="BS11" i="41"/>
  <c r="BR11" i="41"/>
  <c r="BQ11" i="41"/>
  <c r="BD11" i="41"/>
  <c r="AH11" i="41" a="1"/>
  <c r="AF11" i="41" a="1"/>
  <c r="AE11" i="41" a="1"/>
  <c r="O11" i="41"/>
  <c r="L11" i="41"/>
  <c r="K11" i="41"/>
  <c r="J11" i="41"/>
  <c r="I11" i="41"/>
  <c r="AM11" i="41" s="1" a="1"/>
  <c r="H11" i="41"/>
  <c r="AG11" i="41" s="1" a="1"/>
  <c r="CO11" i="41" s="1"/>
  <c r="G11" i="41"/>
  <c r="E11" i="41"/>
  <c r="D11" i="41"/>
  <c r="BL11" i="41" s="1"/>
  <c r="C11" i="41"/>
  <c r="A11" i="41"/>
  <c r="CM10" i="41"/>
  <c r="CL10" i="41"/>
  <c r="CD10" i="41"/>
  <c r="CC10" i="41"/>
  <c r="CB10" i="41"/>
  <c r="CA10" i="41"/>
  <c r="BY10" i="41"/>
  <c r="BX10" i="41"/>
  <c r="BW10" i="41"/>
  <c r="BV10" i="41"/>
  <c r="BU10" i="41"/>
  <c r="BT10" i="41"/>
  <c r="BS10" i="41"/>
  <c r="BR10" i="41"/>
  <c r="BQ10" i="41"/>
  <c r="BD10" i="41"/>
  <c r="AH10" i="41" a="1"/>
  <c r="AF10" i="41" a="1"/>
  <c r="AE10" i="41" a="1"/>
  <c r="O10" i="41"/>
  <c r="L10" i="41"/>
  <c r="K10" i="41"/>
  <c r="J10" i="41"/>
  <c r="I10" i="41"/>
  <c r="AM10" i="41" s="1" a="1"/>
  <c r="H10" i="41"/>
  <c r="AG10" i="41" s="1" a="1"/>
  <c r="CO10" i="41" s="1"/>
  <c r="G10" i="41"/>
  <c r="E10" i="41"/>
  <c r="D10" i="41"/>
  <c r="BL10" i="41" s="1"/>
  <c r="C10" i="41"/>
  <c r="A10" i="41"/>
  <c r="CM9" i="41"/>
  <c r="CL9" i="41"/>
  <c r="CD9" i="41"/>
  <c r="CC9" i="41"/>
  <c r="CB9" i="41"/>
  <c r="CA9" i="41"/>
  <c r="BY9" i="41"/>
  <c r="BX9" i="41"/>
  <c r="BW9" i="41"/>
  <c r="BV9" i="41"/>
  <c r="BU9" i="41"/>
  <c r="BT9" i="41"/>
  <c r="BS9" i="41"/>
  <c r="BR9" i="41"/>
  <c r="BQ9" i="41"/>
  <c r="BD9" i="41"/>
  <c r="AH9" i="41" a="1"/>
  <c r="AF9" i="41" a="1"/>
  <c r="AE9" i="41" a="1"/>
  <c r="O9" i="41"/>
  <c r="L9" i="41"/>
  <c r="K9" i="41"/>
  <c r="J9" i="41"/>
  <c r="I9" i="41"/>
  <c r="AM9" i="41" s="1" a="1"/>
  <c r="H9" i="41"/>
  <c r="AG9" i="41" s="1" a="1"/>
  <c r="CO9" i="41" s="1"/>
  <c r="G9" i="41"/>
  <c r="E9" i="41"/>
  <c r="D9" i="41"/>
  <c r="BL9" i="41" s="1"/>
  <c r="C9" i="41"/>
  <c r="A9" i="41"/>
  <c r="CM8" i="41"/>
  <c r="CL8" i="41"/>
  <c r="CD8" i="41"/>
  <c r="CC8" i="41"/>
  <c r="CB8" i="41"/>
  <c r="CA8" i="41"/>
  <c r="BY8" i="41"/>
  <c r="BX8" i="41"/>
  <c r="BW8" i="41"/>
  <c r="BV8" i="41"/>
  <c r="BU8" i="41"/>
  <c r="BT8" i="41"/>
  <c r="BS8" i="41"/>
  <c r="BR8" i="41"/>
  <c r="BQ8" i="41"/>
  <c r="BD8" i="41"/>
  <c r="AH8" i="41" a="1"/>
  <c r="AF8" i="41" a="1"/>
  <c r="AE8" i="41" a="1"/>
  <c r="T8" i="41"/>
  <c r="O8" i="41"/>
  <c r="L8" i="41"/>
  <c r="K8" i="41"/>
  <c r="J8" i="41"/>
  <c r="I8" i="41"/>
  <c r="AM8" i="41" s="1" a="1"/>
  <c r="H8" i="41"/>
  <c r="AG8" i="41" s="1" a="1"/>
  <c r="CO8" i="41" s="1"/>
  <c r="G8" i="41"/>
  <c r="E8" i="41"/>
  <c r="D8" i="41"/>
  <c r="BL8" i="41" s="1"/>
  <c r="C8" i="41"/>
  <c r="B8" i="41"/>
  <c r="A8" i="41"/>
  <c r="CM7" i="41"/>
  <c r="CL7" i="41"/>
  <c r="CD7" i="41"/>
  <c r="CC7" i="41"/>
  <c r="CB7" i="41"/>
  <c r="CA7" i="41"/>
  <c r="BY7" i="41"/>
  <c r="BX7" i="41"/>
  <c r="BW7" i="41"/>
  <c r="BV7" i="41"/>
  <c r="BU7" i="41"/>
  <c r="BT7" i="41"/>
  <c r="BS7" i="41"/>
  <c r="BR7" i="41"/>
  <c r="BQ7" i="41"/>
  <c r="BD7" i="41"/>
  <c r="AH7" i="41" a="1"/>
  <c r="AF7" i="41" a="1"/>
  <c r="AE7" i="41" a="1"/>
  <c r="O7" i="41"/>
  <c r="L7" i="41"/>
  <c r="K7" i="41"/>
  <c r="J7" i="41"/>
  <c r="I7" i="41"/>
  <c r="AM7" i="41" s="1" a="1"/>
  <c r="H7" i="41"/>
  <c r="AG7" i="41" s="1" a="1"/>
  <c r="G7" i="41"/>
  <c r="E7" i="41"/>
  <c r="D7" i="41"/>
  <c r="BL7" i="41" s="1"/>
  <c r="C7" i="41"/>
  <c r="B7" i="41"/>
  <c r="A7" i="41"/>
  <c r="BT3" i="41"/>
  <c r="BS3" i="41"/>
  <c r="BR3" i="41"/>
  <c r="BQ3" i="41"/>
  <c r="BP3" i="41"/>
  <c r="BO3" i="41"/>
  <c r="BN3" i="41"/>
  <c r="BM3" i="41"/>
  <c r="BL3" i="41"/>
  <c r="AM48" i="31"/>
  <c r="AN48" i="31"/>
  <c r="AM44" i="31"/>
  <c r="AN44" i="31"/>
  <c r="AM45" i="31"/>
  <c r="AN45" i="31"/>
  <c r="AM46" i="31"/>
  <c r="M35" i="41" s="1"/>
  <c r="CE35" i="41" s="1"/>
  <c r="AN46" i="31"/>
  <c r="AM47" i="31"/>
  <c r="AN47" i="31"/>
  <c r="AP47" i="31"/>
  <c r="AM43" i="31"/>
  <c r="AN43" i="31"/>
  <c r="AP48" i="31" l="1"/>
  <c r="M39" i="41"/>
  <c r="AP45" i="31"/>
  <c r="N33" i="41"/>
  <c r="BA13" i="41"/>
  <c r="CI13" i="41" s="1"/>
  <c r="BA9" i="41"/>
  <c r="CI9" i="41" s="1"/>
  <c r="BA39" i="41"/>
  <c r="P37" i="41"/>
  <c r="AP44" i="31"/>
  <c r="N39" i="41"/>
  <c r="BA35" i="41"/>
  <c r="CI35" i="41" s="1"/>
  <c r="P39" i="41"/>
  <c r="P33" i="41"/>
  <c r="N35" i="41"/>
  <c r="AP46" i="31"/>
  <c r="M26" i="41"/>
  <c r="N26" i="41"/>
  <c r="BA24" i="41"/>
  <c r="CI24" i="41" s="1"/>
  <c r="AD39" i="41"/>
  <c r="AS39" i="41"/>
  <c r="CN39" i="41"/>
  <c r="AK39" i="41" a="1"/>
  <c r="AL39" i="41" a="1"/>
  <c r="CE39" i="41"/>
  <c r="AJ39" i="41" a="1"/>
  <c r="AI39" i="41" a="1"/>
  <c r="BL25" i="41"/>
  <c r="BV3" i="41"/>
  <c r="BU3" i="41"/>
  <c r="AC41" i="41" a="1"/>
  <c r="AX41" i="41"/>
  <c r="AD41" i="41"/>
  <c r="AS41" i="41"/>
  <c r="CN41" i="41"/>
  <c r="CE41" i="41"/>
  <c r="AI41" i="41" a="1"/>
  <c r="AJ41" i="41" a="1"/>
  <c r="AK41" i="41" a="1"/>
  <c r="AL41" i="41" a="1"/>
  <c r="BA41" i="41"/>
  <c r="BA40" i="41"/>
  <c r="CI39" i="41"/>
  <c r="BA38" i="41"/>
  <c r="AX37" i="41"/>
  <c r="AC37" i="41" a="1"/>
  <c r="AD37" i="41"/>
  <c r="AS37" i="41"/>
  <c r="CN37" i="41"/>
  <c r="AJ37" i="41" a="1"/>
  <c r="AL37" i="41" a="1"/>
  <c r="AK37" i="41" a="1"/>
  <c r="CE37" i="41"/>
  <c r="AI37" i="41" a="1"/>
  <c r="BA37" i="41"/>
  <c r="BA36" i="41"/>
  <c r="AD35" i="41"/>
  <c r="AI35" i="41" a="1"/>
  <c r="AJ35" i="41" a="1"/>
  <c r="AK35" i="41" a="1"/>
  <c r="AL35" i="41" a="1"/>
  <c r="BA34" i="41"/>
  <c r="AS33" i="41"/>
  <c r="AD33" i="41"/>
  <c r="CN33" i="41"/>
  <c r="AK33" i="41" a="1"/>
  <c r="AI33" i="41" a="1"/>
  <c r="AJ33" i="41" a="1"/>
  <c r="CE33" i="41"/>
  <c r="AL33" i="41" a="1"/>
  <c r="BA33" i="41"/>
  <c r="BA32" i="41"/>
  <c r="BA31" i="41"/>
  <c r="BA30" i="41"/>
  <c r="BA29" i="41"/>
  <c r="BA28" i="41"/>
  <c r="BA27" i="41"/>
  <c r="BA26" i="41"/>
  <c r="BA25" i="41"/>
  <c r="BA23" i="41"/>
  <c r="BA22" i="41"/>
  <c r="BA21" i="41"/>
  <c r="BA20" i="41"/>
  <c r="BA19" i="41"/>
  <c r="BA18" i="41"/>
  <c r="BA17" i="41"/>
  <c r="BA16" i="41"/>
  <c r="BA15" i="41"/>
  <c r="BA14" i="41"/>
  <c r="BA12" i="41"/>
  <c r="BA11" i="41"/>
  <c r="BA10" i="41"/>
  <c r="BA8" i="41"/>
  <c r="BA7" i="41"/>
  <c r="CO7" i="41"/>
  <c r="CJ3" i="41"/>
  <c r="BP9" i="41" a="1"/>
  <c r="BP35" i="41" a="1"/>
  <c r="BP40" i="41" a="1"/>
  <c r="BP26" i="41" a="1"/>
  <c r="BP27" i="41" a="1"/>
  <c r="BP37" i="41" a="1"/>
  <c r="BP36" i="41" a="1"/>
  <c r="BP30" i="41" a="1"/>
  <c r="BP31" i="41" a="1"/>
  <c r="BP28" i="41" a="1"/>
  <c r="BP25" i="41" a="1"/>
  <c r="BP13" i="41" a="1"/>
  <c r="BP39" i="41" a="1"/>
  <c r="BP38" i="41" a="1"/>
  <c r="BP15" i="41" a="1"/>
  <c r="BP32" i="41" a="1"/>
  <c r="BP34" i="41" a="1"/>
  <c r="BP14" i="41" a="1"/>
  <c r="BP24" i="41" a="1"/>
  <c r="BP11" i="41" a="1"/>
  <c r="BP10" i="41" a="1"/>
  <c r="BP41" i="41" a="1"/>
  <c r="BP8" i="41" a="1"/>
  <c r="BP7" i="41" a="1"/>
  <c r="BP16" i="41" a="1"/>
  <c r="BP17" i="41" a="1"/>
  <c r="BP29" i="41" a="1"/>
  <c r="BP18" i="41" a="1"/>
  <c r="BP19" i="41" a="1"/>
  <c r="BP21" i="41" a="1"/>
  <c r="BP20" i="41" a="1"/>
  <c r="BP22" i="41" a="1"/>
  <c r="BP12" i="41" a="1"/>
  <c r="BP23" i="41" a="1"/>
  <c r="BP33" i="41" a="1"/>
  <c r="BO8" i="41" a="1"/>
  <c r="BO9" i="41" a="1"/>
  <c r="BO10" i="41" a="1"/>
  <c r="BO14" i="41" a="1"/>
  <c r="BO30" i="41" a="1"/>
  <c r="BO38" i="41" a="1"/>
  <c r="BO23" i="41" a="1"/>
  <c r="BO39" i="41" a="1"/>
  <c r="BO31" i="41" a="1"/>
  <c r="BO21" i="41" a="1"/>
  <c r="BO11" i="41" a="1"/>
  <c r="BO26" i="41" a="1"/>
  <c r="BO7" i="41" a="1"/>
  <c r="BO32" i="41" a="1"/>
  <c r="BO22" i="41" a="1"/>
  <c r="BO17" i="41" a="1"/>
  <c r="BO41" i="41" a="1"/>
  <c r="BO27" i="41" a="1"/>
  <c r="BO33" i="41" a="1"/>
  <c r="BO19" i="41" a="1"/>
  <c r="BO36" i="41" a="1"/>
  <c r="BO29" i="41" a="1"/>
  <c r="BO12" i="41" a="1"/>
  <c r="BO35" i="41" a="1"/>
  <c r="BO16" i="41" a="1"/>
  <c r="BO25" i="41" a="1"/>
  <c r="BO24" i="41" a="1"/>
  <c r="BO13" i="41" a="1"/>
  <c r="BO28" i="41" a="1"/>
  <c r="BO20" i="41" a="1"/>
  <c r="BO15" i="41" a="1"/>
  <c r="BO18" i="41" a="1"/>
  <c r="BO40" i="41" a="1"/>
  <c r="BO34" i="41" a="1"/>
  <c r="BO37" i="41" a="1"/>
  <c r="BN36" i="41" a="1"/>
  <c r="BN13" i="41" a="1"/>
  <c r="BN10" i="41" a="1"/>
  <c r="BN30" i="41" a="1"/>
  <c r="BN35" i="41" a="1"/>
  <c r="BN14" i="41" a="1"/>
  <c r="BN31" i="41" a="1"/>
  <c r="BN26" i="41" a="1"/>
  <c r="BN24" i="41" a="1"/>
  <c r="BN11" i="41" a="1"/>
  <c r="BN28" i="41" a="1"/>
  <c r="BN23" i="41" a="1"/>
  <c r="BN29" i="41" a="1"/>
  <c r="BN38" i="41" a="1"/>
  <c r="BN19" i="41" a="1"/>
  <c r="BN15" i="41" a="1"/>
  <c r="BN7" i="41" a="1"/>
  <c r="BN21" i="41" a="1"/>
  <c r="BN27" i="41" a="1"/>
  <c r="BN9" i="41" a="1"/>
  <c r="BN18" i="41" a="1"/>
  <c r="BN37" i="41" a="1"/>
  <c r="BN25" i="41" a="1"/>
  <c r="BN39" i="41" a="1"/>
  <c r="BN20" i="41" a="1"/>
  <c r="BN41" i="41" a="1"/>
  <c r="BN16" i="41" a="1"/>
  <c r="BN22" i="41" a="1"/>
  <c r="BN32" i="41" a="1"/>
  <c r="BN17" i="41" a="1"/>
  <c r="BN33" i="41" a="1"/>
  <c r="BN8" i="41" a="1"/>
  <c r="BN34" i="41" a="1"/>
  <c r="BN12" i="41" a="1"/>
  <c r="BN40" i="41" a="1"/>
  <c r="BM28" i="41" a="1"/>
  <c r="BM30" i="41" a="1"/>
  <c r="BM22" i="41" a="1"/>
  <c r="BM31" i="41" a="1"/>
  <c r="BM33" i="41" a="1"/>
  <c r="BM25" i="41" a="1"/>
  <c r="BM19" i="41" a="1"/>
  <c r="BM20" i="41" a="1"/>
  <c r="BM35" i="41" a="1"/>
  <c r="BM34" i="41" a="1"/>
  <c r="BM38" i="41" a="1"/>
  <c r="BM39" i="41" a="1"/>
  <c r="BM18" i="41" a="1"/>
  <c r="BM17" i="41" a="1"/>
  <c r="BM36" i="41" a="1"/>
  <c r="BM16" i="41" a="1"/>
  <c r="BM41" i="41" a="1"/>
  <c r="BM11" i="41" a="1"/>
  <c r="BM26" i="41" a="1"/>
  <c r="BM9" i="41" a="1"/>
  <c r="BM32" i="41" a="1"/>
  <c r="BM21" i="41" a="1"/>
  <c r="BM13" i="41" a="1"/>
  <c r="BM23" i="41" a="1"/>
  <c r="BM40" i="41" a="1"/>
  <c r="BM29" i="41" a="1"/>
  <c r="BM37" i="41" a="1"/>
  <c r="BM8" i="41" a="1"/>
  <c r="BM10" i="41" a="1"/>
  <c r="BM7" i="41" a="1"/>
  <c r="BM27" i="41" a="1"/>
  <c r="BM15" i="41" a="1"/>
  <c r="BM12" i="41" a="1"/>
  <c r="BM24" i="41" a="1"/>
  <c r="BM14" i="41" a="1"/>
  <c r="AP43" i="31"/>
  <c r="AQ39" i="41" l="1"/>
  <c r="AQ37" i="41"/>
  <c r="AX39" i="41"/>
  <c r="AC39" i="41" a="1"/>
  <c r="CN35" i="41"/>
  <c r="AS35" i="41"/>
  <c r="CF39" i="41"/>
  <c r="AY39" i="41"/>
  <c r="AN39" i="41" a="1"/>
  <c r="Y39" i="41"/>
  <c r="AQ35" i="41"/>
  <c r="AX33" i="41"/>
  <c r="AC33" i="41" a="1"/>
  <c r="P35" i="41"/>
  <c r="CE26" i="41"/>
  <c r="AL26" i="41" a="1"/>
  <c r="AK26" i="41" a="1"/>
  <c r="AJ26" i="41" a="1"/>
  <c r="AI26" i="41" a="1"/>
  <c r="CN26" i="41"/>
  <c r="AS26" i="41"/>
  <c r="AD26" i="41"/>
  <c r="P26" i="41"/>
  <c r="AQ33" i="41"/>
  <c r="AQ41" i="41"/>
  <c r="AY41" i="41" s="1"/>
  <c r="CF41" i="41"/>
  <c r="AN41" i="41" a="1"/>
  <c r="Y41" i="41"/>
  <c r="CI41" i="41"/>
  <c r="CI40" i="41"/>
  <c r="CI38" i="41"/>
  <c r="AY37" i="41"/>
  <c r="CF37" i="41"/>
  <c r="Y37" i="41"/>
  <c r="AN37" i="41" a="1"/>
  <c r="CI37" i="41"/>
  <c r="CI36" i="41"/>
  <c r="CI34" i="41"/>
  <c r="CF33" i="41"/>
  <c r="AY33" i="41"/>
  <c r="AN33" i="41" a="1"/>
  <c r="Y33" i="41"/>
  <c r="CI33" i="41"/>
  <c r="CI32" i="41"/>
  <c r="CI31" i="41"/>
  <c r="BE30" i="41"/>
  <c r="CI30" i="41"/>
  <c r="CI29" i="41"/>
  <c r="CI28" i="41"/>
  <c r="CI27" i="41"/>
  <c r="CI26" i="41"/>
  <c r="CI25" i="41"/>
  <c r="CI23" i="41"/>
  <c r="CI22" i="41"/>
  <c r="CI21" i="41"/>
  <c r="CI20" i="41"/>
  <c r="CI19" i="41"/>
  <c r="CI18" i="41"/>
  <c r="CI17" i="41"/>
  <c r="CI16" i="41"/>
  <c r="CI15" i="41"/>
  <c r="CI14" i="41"/>
  <c r="CI12" i="41"/>
  <c r="CI11" i="41"/>
  <c r="CI10" i="41"/>
  <c r="CI8" i="41"/>
  <c r="CI7" i="41"/>
  <c r="CA3" i="41"/>
  <c r="AM41" i="31"/>
  <c r="M36" i="41" s="1"/>
  <c r="AN41" i="31"/>
  <c r="N36" i="41" s="1"/>
  <c r="AM42" i="31"/>
  <c r="M32" i="41" s="1"/>
  <c r="AN42" i="31"/>
  <c r="N32" i="41" s="1"/>
  <c r="AN3" i="31"/>
  <c r="N7" i="41" s="1"/>
  <c r="AN4" i="31"/>
  <c r="AN5" i="31"/>
  <c r="AN6" i="31"/>
  <c r="N21" i="41" s="1"/>
  <c r="AN7" i="31"/>
  <c r="AN8" i="31"/>
  <c r="N11" i="41" s="1"/>
  <c r="AN9" i="31"/>
  <c r="AN10" i="31"/>
  <c r="AN11" i="31"/>
  <c r="N12" i="41" s="1"/>
  <c r="AN12" i="31"/>
  <c r="N13" i="41" s="1"/>
  <c r="AN13" i="31"/>
  <c r="N14" i="41" s="1"/>
  <c r="AN14" i="31"/>
  <c r="N15" i="41" s="1"/>
  <c r="AN15" i="31"/>
  <c r="AN16" i="31"/>
  <c r="AN17" i="31"/>
  <c r="N16" i="41" s="1"/>
  <c r="AN18" i="31"/>
  <c r="N17" i="41" s="1"/>
  <c r="AN19" i="31"/>
  <c r="N18" i="41" s="1"/>
  <c r="AN20" i="31"/>
  <c r="AN21" i="31"/>
  <c r="N19" i="41" s="1"/>
  <c r="AN22" i="31"/>
  <c r="N20" i="41" s="1"/>
  <c r="AN23" i="31"/>
  <c r="N22" i="41" s="1"/>
  <c r="AN24" i="31"/>
  <c r="N23" i="41" s="1"/>
  <c r="AN25" i="31"/>
  <c r="N24" i="41" s="1"/>
  <c r="AN26" i="31"/>
  <c r="N25" i="41" s="1"/>
  <c r="AN27" i="31"/>
  <c r="AN28" i="31"/>
  <c r="AN29" i="31"/>
  <c r="N10" i="41" s="1"/>
  <c r="AN30" i="31"/>
  <c r="N9" i="41" s="1"/>
  <c r="AN31" i="31"/>
  <c r="AN32" i="31"/>
  <c r="N27" i="41" s="1"/>
  <c r="AN33" i="31"/>
  <c r="AN34" i="31"/>
  <c r="N28" i="41" s="1"/>
  <c r="AN35" i="31"/>
  <c r="AN36" i="31"/>
  <c r="N29" i="41" s="1"/>
  <c r="AN37" i="31"/>
  <c r="N30" i="41" s="1"/>
  <c r="AN38" i="31"/>
  <c r="AN39" i="31"/>
  <c r="N31" i="41" s="1"/>
  <c r="AN40" i="31"/>
  <c r="AM3" i="31"/>
  <c r="M7" i="41" s="1"/>
  <c r="AM4" i="31"/>
  <c r="AM5" i="31"/>
  <c r="AM6" i="31"/>
  <c r="M21" i="41" s="1"/>
  <c r="AM7" i="31"/>
  <c r="AM8" i="31"/>
  <c r="M11" i="41" s="1"/>
  <c r="AM9" i="31"/>
  <c r="AM10" i="31"/>
  <c r="AM11" i="31"/>
  <c r="M12" i="41" s="1"/>
  <c r="AM12" i="31"/>
  <c r="M13" i="41" s="1"/>
  <c r="AM13" i="31"/>
  <c r="M14" i="41" s="1"/>
  <c r="AM14" i="31"/>
  <c r="M15" i="41" s="1"/>
  <c r="AM15" i="31"/>
  <c r="AM16" i="31"/>
  <c r="AM17" i="31"/>
  <c r="M16" i="41" s="1"/>
  <c r="AM18" i="31"/>
  <c r="M17" i="41" s="1"/>
  <c r="AM19" i="31"/>
  <c r="M18" i="41" s="1"/>
  <c r="AM20" i="31"/>
  <c r="AM21" i="31"/>
  <c r="M19" i="41" s="1"/>
  <c r="AM22" i="31"/>
  <c r="M20" i="41" s="1"/>
  <c r="AM23" i="31"/>
  <c r="M22" i="41" s="1"/>
  <c r="AM24" i="31"/>
  <c r="M23" i="41" s="1"/>
  <c r="AM25" i="31"/>
  <c r="M24" i="41" s="1"/>
  <c r="AM26" i="31"/>
  <c r="M25" i="41" s="1"/>
  <c r="AM27" i="31"/>
  <c r="AM28" i="31"/>
  <c r="AM29" i="31"/>
  <c r="M10" i="41" s="1"/>
  <c r="AM30" i="31"/>
  <c r="M9" i="41" s="1"/>
  <c r="AM31" i="31"/>
  <c r="AM32" i="31"/>
  <c r="M27" i="41" s="1"/>
  <c r="AM33" i="31"/>
  <c r="AM34" i="31"/>
  <c r="M28" i="41" s="1"/>
  <c r="AM35" i="31"/>
  <c r="AM36" i="31"/>
  <c r="M29" i="41" s="1"/>
  <c r="AM37" i="31"/>
  <c r="M30" i="41" s="1"/>
  <c r="AM38" i="31"/>
  <c r="AM39" i="31"/>
  <c r="M31" i="41" s="1"/>
  <c r="AM40" i="31"/>
  <c r="AQ26" i="41" l="1"/>
  <c r="AX35" i="41"/>
  <c r="AC35" i="41" a="1"/>
  <c r="AX26" i="41"/>
  <c r="AC26" i="41" a="1"/>
  <c r="AJ36" i="41" a="1"/>
  <c r="CE36" i="41"/>
  <c r="AI36" i="41" a="1"/>
  <c r="AK36" i="41" a="1"/>
  <c r="AL36" i="41" a="1"/>
  <c r="AS36" i="41"/>
  <c r="CN36" i="41"/>
  <c r="AD36" i="41"/>
  <c r="AI32" i="41" a="1"/>
  <c r="CE32" i="41"/>
  <c r="AL32" i="41" a="1"/>
  <c r="AK32" i="41" a="1"/>
  <c r="AJ32" i="41" a="1"/>
  <c r="AS32" i="41"/>
  <c r="AD32" i="41"/>
  <c r="CN32" i="41"/>
  <c r="AD7" i="41"/>
  <c r="AS7" i="41"/>
  <c r="CN7" i="41"/>
  <c r="N8" i="41"/>
  <c r="AD21" i="41"/>
  <c r="CN21" i="41"/>
  <c r="AS21" i="41"/>
  <c r="AD11" i="41"/>
  <c r="CN11" i="41"/>
  <c r="AS11" i="41"/>
  <c r="N38" i="41"/>
  <c r="AS12" i="41"/>
  <c r="CN12" i="41"/>
  <c r="AD12" i="41"/>
  <c r="CN13" i="41"/>
  <c r="AS13" i="41"/>
  <c r="AD13" i="41"/>
  <c r="CN14" i="41"/>
  <c r="AS14" i="41"/>
  <c r="AD14" i="41"/>
  <c r="AS15" i="41"/>
  <c r="CN15" i="41"/>
  <c r="AD15" i="41"/>
  <c r="CN16" i="41"/>
  <c r="AS16" i="41"/>
  <c r="AD16" i="41"/>
  <c r="CN17" i="41"/>
  <c r="AS17" i="41"/>
  <c r="AD17" i="41"/>
  <c r="CN18" i="41"/>
  <c r="AS18" i="41"/>
  <c r="AD18" i="41"/>
  <c r="AD19" i="41"/>
  <c r="AS19" i="41"/>
  <c r="CN19" i="41"/>
  <c r="AS20" i="41"/>
  <c r="AD20" i="41"/>
  <c r="CN20" i="41"/>
  <c r="CN22" i="41"/>
  <c r="AS22" i="41"/>
  <c r="AD22" i="41"/>
  <c r="CN23" i="41"/>
  <c r="AD23" i="41"/>
  <c r="AS23" i="41"/>
  <c r="CN24" i="41"/>
  <c r="AD24" i="41"/>
  <c r="AS24" i="41"/>
  <c r="AD25" i="41"/>
  <c r="CN25" i="41"/>
  <c r="AS25" i="41"/>
  <c r="CN10" i="41"/>
  <c r="AS10" i="41"/>
  <c r="AD10" i="41"/>
  <c r="AS9" i="41"/>
  <c r="AD9" i="41"/>
  <c r="CN9" i="41"/>
  <c r="N40" i="41"/>
  <c r="AS27" i="41"/>
  <c r="CN27" i="41"/>
  <c r="AD27" i="41"/>
  <c r="AS28" i="41"/>
  <c r="AD28" i="41"/>
  <c r="CN28" i="41"/>
  <c r="AS29" i="41"/>
  <c r="AD29" i="41"/>
  <c r="CN29" i="41"/>
  <c r="CN30" i="41"/>
  <c r="AD30" i="41"/>
  <c r="AS30" i="41"/>
  <c r="AD31" i="41"/>
  <c r="AS31" i="41"/>
  <c r="CN31" i="41"/>
  <c r="N34" i="41"/>
  <c r="CE7" i="41"/>
  <c r="AI7" i="41" a="1"/>
  <c r="AK7" i="41" a="1"/>
  <c r="AJ7" i="41" a="1"/>
  <c r="AL7" i="41" a="1"/>
  <c r="M8" i="41"/>
  <c r="AL21" i="41" a="1"/>
  <c r="AJ21" i="41" a="1"/>
  <c r="AI21" i="41" a="1"/>
  <c r="CE21" i="41"/>
  <c r="AK21" i="41" a="1"/>
  <c r="CE11" i="41"/>
  <c r="AL11" i="41" a="1"/>
  <c r="AI11" i="41" a="1"/>
  <c r="AK11" i="41" a="1"/>
  <c r="AJ11" i="41" a="1"/>
  <c r="M38" i="41"/>
  <c r="AJ12" i="41" a="1"/>
  <c r="AI12" i="41" a="1"/>
  <c r="AL12" i="41" a="1"/>
  <c r="AK12" i="41" a="1"/>
  <c r="CE12" i="41"/>
  <c r="CE13" i="41"/>
  <c r="AI13" i="41" a="1"/>
  <c r="AJ13" i="41" a="1"/>
  <c r="AL13" i="41" a="1"/>
  <c r="AK13" i="41" a="1"/>
  <c r="AJ14" i="41" a="1"/>
  <c r="AK14" i="41" a="1"/>
  <c r="CE14" i="41"/>
  <c r="AL14" i="41" a="1"/>
  <c r="AI14" i="41" a="1"/>
  <c r="AQ14" i="41" s="1"/>
  <c r="AK15" i="41" a="1"/>
  <c r="CE15" i="41"/>
  <c r="AL15" i="41" a="1"/>
  <c r="AJ15" i="41" a="1"/>
  <c r="AI15" i="41" a="1"/>
  <c r="AI16" i="41" a="1"/>
  <c r="AJ16" i="41" a="1"/>
  <c r="CE16" i="41"/>
  <c r="AK16" i="41" a="1"/>
  <c r="AL16" i="41" a="1"/>
  <c r="AI17" i="41" a="1"/>
  <c r="AJ17" i="41" a="1"/>
  <c r="AK17" i="41" a="1"/>
  <c r="AL17" i="41" a="1"/>
  <c r="CE17" i="41"/>
  <c r="CE18" i="41"/>
  <c r="AI18" i="41" a="1"/>
  <c r="AJ18" i="41" a="1"/>
  <c r="AL18" i="41" a="1"/>
  <c r="AK18" i="41" a="1"/>
  <c r="AI19" i="41" a="1"/>
  <c r="AJ19" i="41" a="1"/>
  <c r="AL19" i="41" a="1"/>
  <c r="AK19" i="41" a="1"/>
  <c r="CE19" i="41"/>
  <c r="AL20" i="41" a="1"/>
  <c r="AK20" i="41" a="1"/>
  <c r="AJ20" i="41" a="1"/>
  <c r="AI20" i="41" a="1"/>
  <c r="AQ20" i="41" s="1"/>
  <c r="CE20" i="41"/>
  <c r="AJ22" i="41" a="1"/>
  <c r="AI22" i="41" a="1"/>
  <c r="CE22" i="41"/>
  <c r="AL22" i="41" a="1"/>
  <c r="AK22" i="41" a="1"/>
  <c r="AK23" i="41" a="1"/>
  <c r="AJ23" i="41" a="1"/>
  <c r="CE23" i="41"/>
  <c r="AL23" i="41" a="1"/>
  <c r="AI23" i="41" a="1"/>
  <c r="AQ23" i="41" s="1"/>
  <c r="CE24" i="41"/>
  <c r="AL24" i="41" a="1"/>
  <c r="AI24" i="41" a="1"/>
  <c r="AJ24" i="41" a="1"/>
  <c r="AK24" i="41" a="1"/>
  <c r="AI25" i="41" a="1"/>
  <c r="AJ25" i="41" a="1"/>
  <c r="CE25" i="41"/>
  <c r="AK25" i="41" a="1"/>
  <c r="AL25" i="41" a="1"/>
  <c r="AJ10" i="41" a="1"/>
  <c r="AI10" i="41" a="1"/>
  <c r="AK10" i="41" a="1"/>
  <c r="CE10" i="41"/>
  <c r="AL10" i="41" a="1"/>
  <c r="AI9" i="41" a="1"/>
  <c r="AJ9" i="41" a="1"/>
  <c r="AK9" i="41" a="1"/>
  <c r="AL9" i="41" a="1"/>
  <c r="CE9" i="41"/>
  <c r="M40" i="41"/>
  <c r="AI27" i="41" a="1"/>
  <c r="CE27" i="41"/>
  <c r="AL27" i="41" a="1"/>
  <c r="AJ27" i="41" a="1"/>
  <c r="AK27" i="41" a="1"/>
  <c r="AJ28" i="41" a="1"/>
  <c r="AL28" i="41" a="1"/>
  <c r="CE28" i="41"/>
  <c r="AK28" i="41" a="1"/>
  <c r="AI28" i="41" a="1"/>
  <c r="AI29" i="41" a="1"/>
  <c r="AL29" i="41" a="1"/>
  <c r="AJ29" i="41" a="1"/>
  <c r="AK29" i="41" a="1"/>
  <c r="CE29" i="41"/>
  <c r="CE30" i="41"/>
  <c r="AI30" i="41" a="1"/>
  <c r="AJ30" i="41" a="1"/>
  <c r="AK30" i="41" a="1"/>
  <c r="AL30" i="41" a="1"/>
  <c r="AL31" i="41" a="1"/>
  <c r="AK31" i="41" a="1"/>
  <c r="AJ31" i="41" a="1"/>
  <c r="AI31" i="41" a="1"/>
  <c r="AQ31" i="41" s="1"/>
  <c r="CE31" i="41"/>
  <c r="M34" i="41"/>
  <c r="AP41" i="31"/>
  <c r="P36" i="41" s="1"/>
  <c r="AP42" i="31"/>
  <c r="P32" i="41" s="1"/>
  <c r="AP35" i="31"/>
  <c r="AP39" i="31"/>
  <c r="P31" i="41" s="1"/>
  <c r="AP31" i="31"/>
  <c r="AP38" i="31"/>
  <c r="AP40" i="31"/>
  <c r="AP37" i="31"/>
  <c r="P30" i="41" s="1"/>
  <c r="AP36" i="31"/>
  <c r="P29" i="41" s="1"/>
  <c r="AP33" i="31"/>
  <c r="AP34" i="31"/>
  <c r="P28" i="41" s="1"/>
  <c r="AP32" i="31"/>
  <c r="P27" i="41" s="1"/>
  <c r="BW3" i="41" l="1"/>
  <c r="AQ15" i="41"/>
  <c r="AQ28" i="41"/>
  <c r="AN35" i="41" a="1"/>
  <c r="Y35" i="41"/>
  <c r="CF35" i="41"/>
  <c r="AY35" i="41"/>
  <c r="AN26" i="41" a="1"/>
  <c r="AY26" i="41"/>
  <c r="CF26" i="41"/>
  <c r="Y26" i="41"/>
  <c r="AD8" i="41"/>
  <c r="AS8" i="41"/>
  <c r="CN8" i="41"/>
  <c r="AD38" i="41"/>
  <c r="AS38" i="41"/>
  <c r="CN38" i="41"/>
  <c r="CN40" i="41"/>
  <c r="AD40" i="41"/>
  <c r="AS40" i="41"/>
  <c r="CN34" i="41"/>
  <c r="AS34" i="41"/>
  <c r="AD34" i="41"/>
  <c r="AI8" i="41" a="1"/>
  <c r="AL8" i="41" a="1"/>
  <c r="AJ8" i="41" a="1"/>
  <c r="CE8" i="41"/>
  <c r="AK8" i="41" a="1"/>
  <c r="AJ38" i="41" a="1"/>
  <c r="AK38" i="41" a="1"/>
  <c r="CE38" i="41"/>
  <c r="AL38" i="41" a="1"/>
  <c r="AI38" i="41" a="1"/>
  <c r="AQ38" i="41" s="1"/>
  <c r="AI40" i="41" a="1"/>
  <c r="AK40" i="41" a="1"/>
  <c r="CE40" i="41"/>
  <c r="AL40" i="41" a="1"/>
  <c r="AJ40" i="41" a="1"/>
  <c r="AI34" i="41" a="1"/>
  <c r="AJ34" i="41" a="1"/>
  <c r="AL34" i="41" a="1"/>
  <c r="CE34" i="41"/>
  <c r="AK34" i="41" a="1"/>
  <c r="AQ36" i="41"/>
  <c r="AQ32" i="41"/>
  <c r="AQ7" i="41"/>
  <c r="AQ21" i="41"/>
  <c r="AQ11" i="41"/>
  <c r="AQ12" i="41"/>
  <c r="AQ13" i="41"/>
  <c r="AQ16" i="41"/>
  <c r="AQ17" i="41"/>
  <c r="AQ18" i="41"/>
  <c r="AQ19" i="41"/>
  <c r="AQ22" i="41"/>
  <c r="AQ24" i="41"/>
  <c r="AQ25" i="41"/>
  <c r="AQ10" i="41"/>
  <c r="AQ9" i="41"/>
  <c r="AQ27" i="41"/>
  <c r="AQ29" i="41"/>
  <c r="AQ30" i="41"/>
  <c r="AC36" i="41" a="1"/>
  <c r="AX36" i="41"/>
  <c r="AC32" i="41" a="1"/>
  <c r="AX32" i="41"/>
  <c r="AX31" i="41"/>
  <c r="AC31" i="41" a="1"/>
  <c r="P40" i="41"/>
  <c r="P34" i="41"/>
  <c r="AC30" i="41" a="1"/>
  <c r="AX30" i="41"/>
  <c r="AC29" i="41" a="1"/>
  <c r="AX29" i="41"/>
  <c r="AC28" i="41" a="1"/>
  <c r="AX28" i="41"/>
  <c r="AC27" i="41" a="1"/>
  <c r="AX27" i="41"/>
  <c r="CI3" i="41" l="1"/>
  <c r="AQ8" i="41"/>
  <c r="AY36" i="41"/>
  <c r="CF36" i="41"/>
  <c r="AY32" i="41"/>
  <c r="CF32" i="41"/>
  <c r="AY31" i="41"/>
  <c r="CF31" i="41"/>
  <c r="AX40" i="41"/>
  <c r="AC40" i="41" a="1"/>
  <c r="AC34" i="41" a="1"/>
  <c r="AX34" i="41"/>
  <c r="AY30" i="41"/>
  <c r="CF30" i="41"/>
  <c r="AY29" i="41"/>
  <c r="CF29" i="41"/>
  <c r="CF28" i="41"/>
  <c r="AY28" i="41"/>
  <c r="CF27" i="41"/>
  <c r="AY27" i="41"/>
  <c r="AQ40" i="41"/>
  <c r="AQ34" i="41"/>
  <c r="AN36" i="41" a="1"/>
  <c r="Y36" i="41"/>
  <c r="Y32" i="41"/>
  <c r="AN32" i="41" a="1"/>
  <c r="Y31" i="41"/>
  <c r="AN31" i="41" a="1"/>
  <c r="Y30" i="41"/>
  <c r="AN30" i="41" a="1"/>
  <c r="AN29" i="41" a="1"/>
  <c r="Y29" i="41"/>
  <c r="Y28" i="41"/>
  <c r="AN28" i="41" a="1"/>
  <c r="Y27" i="41"/>
  <c r="AN27" i="41" a="1"/>
  <c r="AP29" i="31"/>
  <c r="P10" i="41" s="1"/>
  <c r="AP30" i="31"/>
  <c r="P9" i="41" s="1"/>
  <c r="AP27" i="31"/>
  <c r="AP28" i="31"/>
  <c r="CF40" i="41" l="1"/>
  <c r="AY40" i="41"/>
  <c r="AY34" i="41"/>
  <c r="CF34" i="41"/>
  <c r="AN40" i="41" a="1"/>
  <c r="Y40" i="41"/>
  <c r="Y34" i="41"/>
  <c r="AN34" i="41" a="1"/>
  <c r="AX10" i="41"/>
  <c r="AC10" i="41" a="1"/>
  <c r="AX9" i="41"/>
  <c r="AC9" i="41" a="1"/>
  <c r="AP3" i="31"/>
  <c r="P7" i="41" s="1"/>
  <c r="AP4" i="31"/>
  <c r="P8" i="41" s="1"/>
  <c r="AP5" i="31"/>
  <c r="AP6" i="31"/>
  <c r="P21" i="41" s="1"/>
  <c r="AP7" i="31"/>
  <c r="AP8" i="31"/>
  <c r="P11" i="41" s="1"/>
  <c r="AP9" i="31"/>
  <c r="AP10" i="31"/>
  <c r="AP11" i="31"/>
  <c r="P12" i="41" s="1"/>
  <c r="AP12" i="31"/>
  <c r="P13" i="41" s="1"/>
  <c r="AP13" i="31"/>
  <c r="P14" i="41" s="1"/>
  <c r="AP14" i="31"/>
  <c r="P15" i="41" s="1"/>
  <c r="AP15" i="31"/>
  <c r="AP16" i="31"/>
  <c r="AP17" i="31"/>
  <c r="AP18" i="31"/>
  <c r="P17" i="41" s="1"/>
  <c r="AP19" i="31"/>
  <c r="AP20" i="31"/>
  <c r="AP21" i="31"/>
  <c r="AP22" i="31"/>
  <c r="P20" i="41" s="1"/>
  <c r="AP23" i="31"/>
  <c r="P22" i="41" s="1"/>
  <c r="AP24" i="31"/>
  <c r="P23" i="41" s="1"/>
  <c r="AP25" i="31"/>
  <c r="AP26" i="31"/>
  <c r="P25" i="41" s="1"/>
  <c r="Y10" i="41" l="1"/>
  <c r="AN10" i="41" a="1"/>
  <c r="CF10" i="41"/>
  <c r="AY10" i="41"/>
  <c r="AY9" i="41"/>
  <c r="Y9" i="41"/>
  <c r="AN9" i="41" a="1"/>
  <c r="CF9" i="41"/>
  <c r="AC7" i="41" a="1"/>
  <c r="AX7" i="41"/>
  <c r="AC8" i="41" a="1"/>
  <c r="AX8" i="41"/>
  <c r="AC21" i="41" a="1"/>
  <c r="AX21" i="41"/>
  <c r="AX11" i="41"/>
  <c r="AC11" i="41" a="1"/>
  <c r="P38" i="41"/>
  <c r="AC12" i="41" a="1"/>
  <c r="AX12" i="41"/>
  <c r="AC13" i="41" a="1"/>
  <c r="AX13" i="41"/>
  <c r="AX14" i="41"/>
  <c r="AC14" i="41" a="1"/>
  <c r="AC15" i="41" a="1"/>
  <c r="AX15" i="41"/>
  <c r="P16" i="41"/>
  <c r="AX17" i="41"/>
  <c r="AC17" i="41" a="1"/>
  <c r="P18" i="41"/>
  <c r="P19" i="41"/>
  <c r="AX20" i="41"/>
  <c r="AC20" i="41" a="1"/>
  <c r="AX22" i="41"/>
  <c r="AC22" i="41" a="1"/>
  <c r="AC23" i="41" a="1"/>
  <c r="AX23" i="41"/>
  <c r="P24" i="41"/>
  <c r="AX25" i="41"/>
  <c r="AC25" i="41" a="1"/>
  <c r="AN7" i="41" l="1" a="1"/>
  <c r="Y7" i="41"/>
  <c r="AY7" i="41"/>
  <c r="CF7" i="41"/>
  <c r="Y8" i="41"/>
  <c r="AN8" i="41" a="1"/>
  <c r="AY8" i="41"/>
  <c r="CF8" i="41"/>
  <c r="AN21" i="41" a="1"/>
  <c r="Y21" i="41"/>
  <c r="AY21" i="41"/>
  <c r="CF21" i="41"/>
  <c r="Y11" i="41"/>
  <c r="AN11" i="41" a="1"/>
  <c r="CF11" i="41"/>
  <c r="AY11" i="41"/>
  <c r="AC38" i="41" a="1"/>
  <c r="AX38" i="41"/>
  <c r="Y12" i="41"/>
  <c r="AN12" i="41" a="1"/>
  <c r="AY12" i="41"/>
  <c r="CF12" i="41"/>
  <c r="Y13" i="41"/>
  <c r="AN13" i="41" a="1"/>
  <c r="AY13" i="41"/>
  <c r="CF13" i="41"/>
  <c r="AN14" i="41" a="1"/>
  <c r="Y14" i="41"/>
  <c r="AY14" i="41"/>
  <c r="CF14" i="41"/>
  <c r="AN15" i="41" a="1"/>
  <c r="Y15" i="41"/>
  <c r="AY15" i="41"/>
  <c r="CF15" i="41"/>
  <c r="AC16" i="41" a="1"/>
  <c r="AX16" i="41"/>
  <c r="AN17" i="41" a="1"/>
  <c r="Y17" i="41"/>
  <c r="CF17" i="41"/>
  <c r="AY17" i="41"/>
  <c r="AC18" i="41" a="1"/>
  <c r="AX18" i="41"/>
  <c r="AX19" i="41"/>
  <c r="AC19" i="41" a="1"/>
  <c r="Y20" i="41"/>
  <c r="AN20" i="41" a="1"/>
  <c r="CF20" i="41"/>
  <c r="AY20" i="41"/>
  <c r="Y22" i="41"/>
  <c r="AN22" i="41" a="1"/>
  <c r="CF22" i="41"/>
  <c r="AY22" i="41"/>
  <c r="AN23" i="41" a="1"/>
  <c r="Y23" i="41"/>
  <c r="CF23" i="41"/>
  <c r="AY23" i="41"/>
  <c r="AX24" i="41"/>
  <c r="AC24" i="41" a="1"/>
  <c r="Y25" i="41"/>
  <c r="AN25" i="41" a="1"/>
  <c r="AY25" i="41"/>
  <c r="CF25" i="41"/>
  <c r="BX3" i="41" l="1"/>
  <c r="Y38" i="41"/>
  <c r="AN38" i="41" a="1"/>
  <c r="AY38" i="41"/>
  <c r="CF38" i="41"/>
  <c r="AN16" i="41" a="1"/>
  <c r="Y16" i="41"/>
  <c r="CF16" i="41"/>
  <c r="AY16" i="41"/>
  <c r="Y18" i="41"/>
  <c r="AN18" i="41" a="1"/>
  <c r="CF18" i="41"/>
  <c r="AY18" i="41"/>
  <c r="AN19" i="41" a="1"/>
  <c r="Y19" i="41"/>
  <c r="CF19" i="41"/>
  <c r="AY19" i="41"/>
  <c r="AY24" i="41"/>
  <c r="Y24" i="41"/>
  <c r="AN24" i="41" a="1"/>
  <c r="CF24" i="41"/>
  <c r="AO22" i="41" l="1"/>
  <c r="AO7" i="41"/>
  <c r="AO35" i="41"/>
  <c r="AP35" i="41"/>
  <c r="AO21" i="41"/>
  <c r="AO16" i="41"/>
  <c r="AO26" i="41"/>
  <c r="AO10" i="41"/>
  <c r="AB10" i="41" s="1" a="1"/>
  <c r="U10" i="41" s="1"/>
  <c r="AO41" i="41"/>
  <c r="AO32" i="41"/>
  <c r="AO30" i="41"/>
  <c r="AP7" i="41"/>
  <c r="AO33" i="41"/>
  <c r="AO38" i="41"/>
  <c r="AP26" i="41"/>
  <c r="AO29" i="41"/>
  <c r="AZ29" i="41" s="1"/>
  <c r="AO11" i="41"/>
  <c r="AP11" i="41"/>
  <c r="AO24" i="41"/>
  <c r="AZ24" i="41" s="1"/>
  <c r="AV24" i="41" s="1"/>
  <c r="AO39" i="41"/>
  <c r="AZ39" i="41" s="1"/>
  <c r="AT39" i="41" s="1"/>
  <c r="BC39" i="41" s="1"/>
  <c r="BE39" i="41" s="1"/>
  <c r="AO20" i="41"/>
  <c r="AO18" i="41"/>
  <c r="AO34" i="41"/>
  <c r="AO13" i="41"/>
  <c r="AZ13" i="41" s="1"/>
  <c r="AO12" i="41"/>
  <c r="AO19" i="41"/>
  <c r="AP16" i="41"/>
  <c r="AO25" i="41"/>
  <c r="AO8" i="41"/>
  <c r="AO40" i="41"/>
  <c r="AO15" i="41"/>
  <c r="AA15" i="41" s="1" a="1"/>
  <c r="AO14" i="41"/>
  <c r="AP14" i="41"/>
  <c r="AO31" i="41"/>
  <c r="AA31" i="41" s="1" a="1"/>
  <c r="AO9" i="41"/>
  <c r="AO27" i="41"/>
  <c r="AP24" i="41"/>
  <c r="AP18" i="41"/>
  <c r="AO17" i="41"/>
  <c r="CG17" i="41" s="1"/>
  <c r="AO23" i="41"/>
  <c r="AO28" i="41"/>
  <c r="AP25" i="41"/>
  <c r="AP19" i="41"/>
  <c r="AP41" i="41"/>
  <c r="AP13" i="41"/>
  <c r="AP20" i="41"/>
  <c r="AO36" i="41"/>
  <c r="AP40" i="41"/>
  <c r="AP28" i="41"/>
  <c r="AP36" i="41"/>
  <c r="AP22" i="41"/>
  <c r="AP15" i="41"/>
  <c r="AO37" i="41"/>
  <c r="AP10" i="41"/>
  <c r="AP8" i="41"/>
  <c r="AP21" i="41"/>
  <c r="AP30" i="41"/>
  <c r="AP27" i="41"/>
  <c r="AP31" i="41"/>
  <c r="AP39" i="41"/>
  <c r="AP38" i="41"/>
  <c r="AP29" i="41"/>
  <c r="AP9" i="41"/>
  <c r="AP23" i="41"/>
  <c r="AP34" i="41"/>
  <c r="AP12" i="41"/>
  <c r="AP32" i="41"/>
  <c r="AP33" i="41"/>
  <c r="AP17" i="41"/>
  <c r="AP37" i="41"/>
  <c r="AB8" i="41" l="1" a="1"/>
  <c r="U8" i="41" s="1"/>
  <c r="CG8" i="41"/>
  <c r="CG40" i="41"/>
  <c r="AB40" i="41" a="1"/>
  <c r="U40" i="41" s="1"/>
  <c r="AZ37" i="41"/>
  <c r="AA37" i="41" a="1"/>
  <c r="CG15" i="41"/>
  <c r="AB15" i="41" a="1"/>
  <c r="AZ15" i="41"/>
  <c r="AZ14" i="41"/>
  <c r="AA14" i="41" a="1"/>
  <c r="AB14" i="41" a="1"/>
  <c r="CG14" i="41"/>
  <c r="AZ9" i="41"/>
  <c r="CG9" i="41"/>
  <c r="AA9" i="41" a="1"/>
  <c r="AB9" i="41" a="1"/>
  <c r="CG27" i="41"/>
  <c r="AA27" i="41" a="1"/>
  <c r="AB17" i="41" a="1"/>
  <c r="AZ17" i="41"/>
  <c r="AA17" i="41" a="1"/>
  <c r="AA8" i="41" a="1"/>
  <c r="AZ8" i="41"/>
  <c r="AZ31" i="41"/>
  <c r="AB31" i="41" a="1"/>
  <c r="CG31" i="41"/>
  <c r="AA26" i="41" a="1"/>
  <c r="AZ26" i="41"/>
  <c r="CG26" i="41"/>
  <c r="AB26" i="41" a="1"/>
  <c r="AZ27" i="41"/>
  <c r="AB27" i="41" a="1"/>
  <c r="AZ28" i="41"/>
  <c r="AB28" i="41" a="1"/>
  <c r="U28" i="41" s="1"/>
  <c r="CG32" i="41"/>
  <c r="AA32" i="41" a="1"/>
  <c r="AB32" i="41" a="1"/>
  <c r="AZ32" i="41"/>
  <c r="AB30" i="41" a="1"/>
  <c r="U30" i="41" s="1"/>
  <c r="CG30" i="41"/>
  <c r="AZ33" i="41"/>
  <c r="AB33" i="41" a="1"/>
  <c r="U33" i="41" s="1"/>
  <c r="AB38" i="41" a="1"/>
  <c r="AA38" i="41" a="1"/>
  <c r="CG38" i="41"/>
  <c r="AZ38" i="41"/>
  <c r="CH29" i="41"/>
  <c r="AV29" i="41"/>
  <c r="AB34" i="41" a="1"/>
  <c r="AA34" i="41" a="1"/>
  <c r="CG34" i="41"/>
  <c r="AZ34" i="41"/>
  <c r="AB13" i="41" a="1"/>
  <c r="AA13" i="41" a="1"/>
  <c r="CG13" i="41"/>
  <c r="AZ12" i="41"/>
  <c r="AB12" i="41" a="1"/>
  <c r="AA12" i="41" a="1"/>
  <c r="CG12" i="41"/>
  <c r="AA19" i="41" a="1"/>
  <c r="AZ19" i="41"/>
  <c r="CG19" i="41"/>
  <c r="AB19" i="41" a="1"/>
  <c r="AT13" i="41"/>
  <c r="CH13" i="41"/>
  <c r="AV13" i="41"/>
  <c r="AU13" i="41"/>
  <c r="AA25" i="41" a="1"/>
  <c r="AZ25" i="41"/>
  <c r="AZ23" i="41"/>
  <c r="CG23" i="41"/>
  <c r="AB36" i="41" a="1"/>
  <c r="AA36" i="41" a="1"/>
  <c r="AZ36" i="41"/>
  <c r="CG36" i="41"/>
  <c r="BY3" i="41"/>
  <c r="AA22" i="41" a="1"/>
  <c r="CG22" i="41"/>
  <c r="AB22" i="41" a="1"/>
  <c r="AZ22" i="41"/>
  <c r="CG7" i="41"/>
  <c r="AA7" i="41" a="1"/>
  <c r="AZ7" i="41"/>
  <c r="AB7" i="41" a="1"/>
  <c r="AB35" i="41" a="1"/>
  <c r="U35" i="41" s="1"/>
  <c r="CG35" i="41"/>
  <c r="AB21" i="41" a="1"/>
  <c r="CG21" i="41"/>
  <c r="AZ21" i="41"/>
  <c r="AA21" i="41" a="1"/>
  <c r="AZ16" i="41"/>
  <c r="AB16" i="41" a="1"/>
  <c r="CG16" i="41"/>
  <c r="AA16" i="41" a="1"/>
  <c r="AA10" i="41" a="1"/>
  <c r="AZ10" i="41"/>
  <c r="CG10" i="41"/>
  <c r="AZ35" i="41"/>
  <c r="AA35" i="41" a="1"/>
  <c r="CG41" i="41"/>
  <c r="AZ41" i="41"/>
  <c r="AB41" i="41" a="1"/>
  <c r="AA41" i="41" a="1"/>
  <c r="AZ30" i="41"/>
  <c r="AA30" i="41" a="1"/>
  <c r="CG33" i="41"/>
  <c r="AA33" i="41" a="1"/>
  <c r="CG29" i="41"/>
  <c r="AA29" i="41" a="1"/>
  <c r="AB29" i="41" a="1"/>
  <c r="AU29" i="41"/>
  <c r="AT29" i="41"/>
  <c r="CG11" i="41"/>
  <c r="AZ11" i="41"/>
  <c r="AB11" i="41" a="1"/>
  <c r="AA11" i="41" a="1"/>
  <c r="CG24" i="41"/>
  <c r="AA24" i="41" a="1"/>
  <c r="AB24" i="41" a="1"/>
  <c r="CH24" i="41"/>
  <c r="AT24" i="41"/>
  <c r="AU24" i="41"/>
  <c r="AW24" i="41" s="1"/>
  <c r="AB39" i="41" a="1"/>
  <c r="CG39" i="41"/>
  <c r="AA39" i="41" a="1"/>
  <c r="AU39" i="41"/>
  <c r="CH39" i="41"/>
  <c r="AV39" i="41"/>
  <c r="CJ39" i="41"/>
  <c r="BB39" i="41"/>
  <c r="AA20" i="41" a="1"/>
  <c r="AZ20" i="41"/>
  <c r="AB20" i="41" a="1"/>
  <c r="CG20" i="41"/>
  <c r="AB18" i="41" a="1"/>
  <c r="AA18" i="41" a="1"/>
  <c r="AZ18" i="41"/>
  <c r="CG18" i="41"/>
  <c r="AB25" i="41" a="1"/>
  <c r="CG25" i="41"/>
  <c r="AA40" i="41" a="1"/>
  <c r="AZ40" i="41"/>
  <c r="AB23" i="41" a="1"/>
  <c r="AA23" i="41" a="1"/>
  <c r="AA28" i="41" a="1"/>
  <c r="CG28" i="41"/>
  <c r="AB37" i="41" a="1"/>
  <c r="CG37" i="41"/>
  <c r="AV14" i="41" l="1"/>
  <c r="CH14" i="41"/>
  <c r="AU14" i="41"/>
  <c r="AT14" i="41"/>
  <c r="AU9" i="41"/>
  <c r="CH9" i="41"/>
  <c r="AV9" i="41"/>
  <c r="AT9" i="41"/>
  <c r="U17" i="41"/>
  <c r="AR17" i="41"/>
  <c r="BF17" i="41"/>
  <c r="CH17" i="41"/>
  <c r="AT17" i="41"/>
  <c r="AU17" i="41"/>
  <c r="AV17" i="41"/>
  <c r="AW17" i="41" s="1"/>
  <c r="AV37" i="41"/>
  <c r="AW37" i="41" s="1"/>
  <c r="AT37" i="41"/>
  <c r="AU37" i="41"/>
  <c r="CH37" i="41"/>
  <c r="BF36" i="41"/>
  <c r="BF27" i="41"/>
  <c r="AR15" i="41"/>
  <c r="U15" i="41"/>
  <c r="BF15" i="41"/>
  <c r="AT8" i="41"/>
  <c r="AV8" i="41"/>
  <c r="AV27" i="41"/>
  <c r="AU27" i="41"/>
  <c r="AT27" i="41"/>
  <c r="CH27" i="41"/>
  <c r="BC13" i="41"/>
  <c r="BE13" i="41" s="1"/>
  <c r="CJ13" i="41"/>
  <c r="BB13" i="41"/>
  <c r="AR14" i="41"/>
  <c r="BF14" i="41"/>
  <c r="U14" i="41"/>
  <c r="AR9" i="41"/>
  <c r="U9" i="41"/>
  <c r="BF9" i="41"/>
  <c r="CH15" i="41"/>
  <c r="AU15" i="41"/>
  <c r="AV15" i="41"/>
  <c r="AT15" i="41"/>
  <c r="AR8" i="41"/>
  <c r="BF8" i="41"/>
  <c r="AV31" i="41"/>
  <c r="CH31" i="41"/>
  <c r="AU31" i="41"/>
  <c r="AT31" i="41"/>
  <c r="CH32" i="41"/>
  <c r="AT32" i="41"/>
  <c r="CH8" i="41"/>
  <c r="AU8" i="41"/>
  <c r="AW9" i="41"/>
  <c r="BF38" i="41"/>
  <c r="AW14" i="41"/>
  <c r="U31" i="41"/>
  <c r="AR31" i="41"/>
  <c r="BF31" i="41"/>
  <c r="AV23" i="41"/>
  <c r="AT23" i="41"/>
  <c r="AU36" i="41"/>
  <c r="CH36" i="41"/>
  <c r="AV36" i="41"/>
  <c r="AT36" i="41"/>
  <c r="AR10" i="41"/>
  <c r="BF10" i="41"/>
  <c r="AR27" i="41"/>
  <c r="U27" i="41"/>
  <c r="CH28" i="41"/>
  <c r="AV28" i="41"/>
  <c r="AW13" i="41"/>
  <c r="CH26" i="41"/>
  <c r="AT26" i="41"/>
  <c r="AU26" i="41"/>
  <c r="AV26" i="41"/>
  <c r="AW26" i="41" s="1"/>
  <c r="U26" i="41"/>
  <c r="BF26" i="41"/>
  <c r="AR26" i="41"/>
  <c r="AU28" i="41"/>
  <c r="AT28" i="41"/>
  <c r="AT33" i="41"/>
  <c r="AU33" i="41"/>
  <c r="CH33" i="41"/>
  <c r="AV33" i="41"/>
  <c r="AW33" i="41" s="1"/>
  <c r="AR38" i="41"/>
  <c r="U38" i="41"/>
  <c r="U36" i="41"/>
  <c r="AR36" i="41"/>
  <c r="U32" i="41"/>
  <c r="BF32" i="41"/>
  <c r="AR32" i="41"/>
  <c r="AV32" i="41"/>
  <c r="AU32" i="41"/>
  <c r="AV38" i="41"/>
  <c r="CH38" i="41"/>
  <c r="AU38" i="41"/>
  <c r="AT38" i="41"/>
  <c r="AV34" i="41"/>
  <c r="AU34" i="41"/>
  <c r="AT34" i="41"/>
  <c r="CH34" i="41"/>
  <c r="AV12" i="41"/>
  <c r="AU12" i="41"/>
  <c r="AT12" i="41"/>
  <c r="CH12" i="41"/>
  <c r="AT19" i="41"/>
  <c r="AU19" i="41"/>
  <c r="CH19" i="41"/>
  <c r="AV19" i="41"/>
  <c r="AW19" i="41" s="1"/>
  <c r="U19" i="41"/>
  <c r="BF19" i="41"/>
  <c r="AR19" i="41"/>
  <c r="AU25" i="41"/>
  <c r="AV25" i="41"/>
  <c r="AT25" i="41"/>
  <c r="CH25" i="41"/>
  <c r="AU23" i="41"/>
  <c r="CH23" i="41"/>
  <c r="U34" i="41"/>
  <c r="AR34" i="41"/>
  <c r="BF34" i="41"/>
  <c r="U13" i="41"/>
  <c r="BF13" i="41"/>
  <c r="AR13" i="41"/>
  <c r="U12" i="41"/>
  <c r="BF12" i="41"/>
  <c r="AR12" i="41"/>
  <c r="U22" i="41"/>
  <c r="BF22" i="41"/>
  <c r="AR22" i="41"/>
  <c r="AU22" i="41"/>
  <c r="CH22" i="41"/>
  <c r="AV22" i="41"/>
  <c r="AT22" i="41"/>
  <c r="AV7" i="41"/>
  <c r="AU7" i="41"/>
  <c r="CH7" i="41"/>
  <c r="AT7" i="41"/>
  <c r="U7" i="41"/>
  <c r="AR7" i="41"/>
  <c r="BF7" i="41"/>
  <c r="AR21" i="41"/>
  <c r="BF21" i="41"/>
  <c r="U21" i="41"/>
  <c r="AU21" i="41"/>
  <c r="AV21" i="41"/>
  <c r="CH21" i="41"/>
  <c r="AT21" i="41"/>
  <c r="AV16" i="41"/>
  <c r="AU16" i="41"/>
  <c r="CH16" i="41"/>
  <c r="AT16" i="41"/>
  <c r="AR16" i="41"/>
  <c r="BF16" i="41"/>
  <c r="U16" i="41"/>
  <c r="CH10" i="41"/>
  <c r="AV10" i="41"/>
  <c r="BZ3" i="41"/>
  <c r="AT10" i="41"/>
  <c r="AU10" i="41"/>
  <c r="AW10" i="41" s="1"/>
  <c r="BF28" i="41"/>
  <c r="AR28" i="41"/>
  <c r="CH35" i="41"/>
  <c r="AU35" i="41"/>
  <c r="AT35" i="41"/>
  <c r="AV35" i="41"/>
  <c r="AW35" i="41" s="1"/>
  <c r="BF35" i="41"/>
  <c r="AR35" i="41"/>
  <c r="AU41" i="41"/>
  <c r="AV41" i="41"/>
  <c r="AT41" i="41"/>
  <c r="CH41" i="41"/>
  <c r="AR41" i="41"/>
  <c r="U41" i="41"/>
  <c r="BF41" i="41"/>
  <c r="AU30" i="41"/>
  <c r="CH30" i="41"/>
  <c r="AT30" i="41"/>
  <c r="AV30" i="41"/>
  <c r="AW30" i="41" s="1"/>
  <c r="BF30" i="41"/>
  <c r="AR30" i="41"/>
  <c r="BF29" i="41"/>
  <c r="U29" i="41"/>
  <c r="AR29" i="41"/>
  <c r="CJ29" i="41"/>
  <c r="BC29" i="41"/>
  <c r="BE29" i="41" s="1"/>
  <c r="BB29" i="41"/>
  <c r="AV11" i="41"/>
  <c r="AU11" i="41"/>
  <c r="AT11" i="41"/>
  <c r="CH11" i="41"/>
  <c r="BF11" i="41"/>
  <c r="U11" i="41"/>
  <c r="AR11" i="41"/>
  <c r="BF24" i="41"/>
  <c r="AR24" i="41"/>
  <c r="U24" i="41"/>
  <c r="CJ24" i="41"/>
  <c r="BC24" i="41"/>
  <c r="BE24" i="41" s="1"/>
  <c r="BB24" i="41"/>
  <c r="AR39" i="41"/>
  <c r="BF39" i="41"/>
  <c r="U39" i="41"/>
  <c r="AV20" i="41"/>
  <c r="CH20" i="41"/>
  <c r="AT20" i="41"/>
  <c r="AU20" i="41"/>
  <c r="AR20" i="41"/>
  <c r="BF20" i="41"/>
  <c r="U20" i="41"/>
  <c r="BF18" i="41"/>
  <c r="AR18" i="41"/>
  <c r="U18" i="41"/>
  <c r="AV18" i="41"/>
  <c r="CH18" i="41"/>
  <c r="AU18" i="41"/>
  <c r="AT18" i="41"/>
  <c r="U25" i="41"/>
  <c r="AR25" i="41"/>
  <c r="BF25" i="41"/>
  <c r="BF40" i="41"/>
  <c r="AR40" i="41"/>
  <c r="CH40" i="41"/>
  <c r="AU40" i="41"/>
  <c r="AT40" i="41"/>
  <c r="AV40" i="41"/>
  <c r="AR23" i="41"/>
  <c r="BF23" i="41"/>
  <c r="U23" i="41"/>
  <c r="BF37" i="41"/>
  <c r="AR37" i="41"/>
  <c r="U37" i="41"/>
  <c r="AW29" i="41"/>
  <c r="AW39" i="41"/>
  <c r="BF33" i="41"/>
  <c r="AR33" i="41"/>
  <c r="BC14" i="41" l="1"/>
  <c r="BE14" i="41" s="1"/>
  <c r="BB14" i="41"/>
  <c r="CJ14" i="41"/>
  <c r="CJ9" i="41"/>
  <c r="BB9" i="41"/>
  <c r="BC9" i="41"/>
  <c r="BE9" i="41" s="1"/>
  <c r="BB17" i="41"/>
  <c r="BC17" i="41"/>
  <c r="BE17" i="41" s="1"/>
  <c r="CJ17" i="41"/>
  <c r="BB37" i="41"/>
  <c r="CJ37" i="41"/>
  <c r="BC37" i="41"/>
  <c r="BE37" i="41" s="1"/>
  <c r="AW27" i="41"/>
  <c r="BB32" i="41"/>
  <c r="CJ32" i="41"/>
  <c r="BC32" i="41"/>
  <c r="BE32" i="41" s="1"/>
  <c r="AW8" i="41"/>
  <c r="AW28" i="41"/>
  <c r="CJ8" i="41"/>
  <c r="BB8" i="41"/>
  <c r="BC8" i="41"/>
  <c r="BE8" i="41" s="1"/>
  <c r="BB27" i="41"/>
  <c r="CJ27" i="41"/>
  <c r="BC27" i="41"/>
  <c r="BE27" i="41" s="1"/>
  <c r="BB15" i="41"/>
  <c r="CJ15" i="41"/>
  <c r="BC15" i="41"/>
  <c r="BE15" i="41" s="1"/>
  <c r="AW36" i="41"/>
  <c r="AW31" i="41"/>
  <c r="AW15" i="41"/>
  <c r="BB31" i="41"/>
  <c r="CJ31" i="41"/>
  <c r="BC31" i="41"/>
  <c r="BE31" i="41" s="1"/>
  <c r="AW23" i="41"/>
  <c r="CJ23" i="41"/>
  <c r="BC23" i="41"/>
  <c r="BE23" i="41" s="1"/>
  <c r="BB23" i="41"/>
  <c r="BB36" i="41"/>
  <c r="CJ36" i="41"/>
  <c r="BC36" i="41"/>
  <c r="BE36" i="41" s="1"/>
  <c r="BB28" i="41"/>
  <c r="CJ28" i="41"/>
  <c r="BC28" i="41"/>
  <c r="BE28" i="41" s="1"/>
  <c r="CJ33" i="41"/>
  <c r="BC33" i="41"/>
  <c r="BE33" i="41" s="1"/>
  <c r="BB33" i="41"/>
  <c r="BB26" i="41"/>
  <c r="CJ26" i="41"/>
  <c r="BC26" i="41"/>
  <c r="BE26" i="41" s="1"/>
  <c r="AW32" i="41"/>
  <c r="AW38" i="41"/>
  <c r="AW34" i="41"/>
  <c r="BC38" i="41"/>
  <c r="BE38" i="41" s="1"/>
  <c r="BB38" i="41"/>
  <c r="CJ38" i="41"/>
  <c r="BC34" i="41"/>
  <c r="BE34" i="41" s="1"/>
  <c r="BB34" i="41"/>
  <c r="CJ34" i="41"/>
  <c r="CJ12" i="41"/>
  <c r="BC12" i="41"/>
  <c r="BE12" i="41" s="1"/>
  <c r="BB12" i="41"/>
  <c r="CJ19" i="41"/>
  <c r="BC19" i="41"/>
  <c r="BE19" i="41" s="1"/>
  <c r="BB19" i="41"/>
  <c r="CJ25" i="41"/>
  <c r="BB25" i="41"/>
  <c r="BC25" i="41"/>
  <c r="BE25" i="41" s="1"/>
  <c r="AW12" i="41"/>
  <c r="AW25" i="41"/>
  <c r="AW22" i="41"/>
  <c r="CB3" i="41"/>
  <c r="BB22" i="41"/>
  <c r="CJ22" i="41"/>
  <c r="BC22" i="41"/>
  <c r="BE22" i="41" s="1"/>
  <c r="CJ7" i="41"/>
  <c r="BB7" i="41"/>
  <c r="BC7" i="41"/>
  <c r="BE7" i="41" s="1"/>
  <c r="BB21" i="41"/>
  <c r="CJ21" i="41"/>
  <c r="BC21" i="41"/>
  <c r="BE21" i="41" s="1"/>
  <c r="BC16" i="41"/>
  <c r="BE16" i="41" s="1"/>
  <c r="BB16" i="41"/>
  <c r="CJ16" i="41"/>
  <c r="AW7" i="41"/>
  <c r="AW21" i="41"/>
  <c r="AW41" i="41"/>
  <c r="AW16" i="41"/>
  <c r="BB10" i="41"/>
  <c r="CJ10" i="41"/>
  <c r="BC10" i="41"/>
  <c r="BE10" i="41" s="1"/>
  <c r="CJ35" i="41"/>
  <c r="BB35" i="41"/>
  <c r="BC35" i="41"/>
  <c r="BE35" i="41" s="1"/>
  <c r="BB41" i="41"/>
  <c r="CJ41" i="41"/>
  <c r="BC41" i="41"/>
  <c r="BE41" i="41" s="1"/>
  <c r="BB30" i="41"/>
  <c r="CJ30" i="41"/>
  <c r="BC30" i="41"/>
  <c r="CJ11" i="41"/>
  <c r="BB11" i="41"/>
  <c r="BC11" i="41"/>
  <c r="BE11" i="41" s="1"/>
  <c r="BC20" i="41"/>
  <c r="BE20" i="41" s="1"/>
  <c r="BB20" i="41"/>
  <c r="CJ20" i="41"/>
  <c r="CJ18" i="41"/>
  <c r="BB18" i="41"/>
  <c r="BC18" i="41"/>
  <c r="BE18" i="41" s="1"/>
  <c r="BC40" i="41"/>
  <c r="BE40" i="41" s="1"/>
  <c r="BB40" i="41"/>
  <c r="CJ40" i="41"/>
  <c r="CC3" i="41"/>
  <c r="AW20" i="41"/>
  <c r="AW18" i="41"/>
  <c r="AW11" i="41"/>
  <c r="AW40" i="41"/>
  <c r="CD3" i="41"/>
  <c r="BE42" i="41" l="1"/>
  <c r="BG9" i="41"/>
  <c r="BG8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Payandeh</author>
  </authors>
  <commentList>
    <comment ref="C2" authorId="0" shapeId="0" xr:uid="{8CB471E1-487E-4223-9F41-ADB6A1B4FF62}">
      <text>
        <r>
          <rPr>
            <b/>
            <sz val="16"/>
            <color indexed="81"/>
            <rFont val="Tahoma"/>
            <family val="2"/>
          </rPr>
          <t>1ایرانی / 2خارجی</t>
        </r>
      </text>
    </comment>
    <comment ref="K2" authorId="0" shapeId="0" xr:uid="{B62095C0-FB08-4BFC-BC3A-FB97286641AE}">
      <text>
        <r>
          <rPr>
            <b/>
            <sz val="12"/>
            <color indexed="81"/>
            <rFont val="Tahoma"/>
            <family val="2"/>
          </rPr>
          <t>1زیر دیپلم / 2دیپلم / 3فوق دیپلم / 4کارشناسی / 5کارشناسی ارشد / 6دکتری</t>
        </r>
      </text>
    </comment>
    <comment ref="O2" authorId="0" shapeId="0" xr:uid="{97FE4AC6-FF6B-4C67-B950-6A1C4E83E0EB}">
      <text>
        <r>
          <rPr>
            <b/>
            <sz val="14"/>
            <color indexed="81"/>
            <rFont val="Tahoma"/>
            <family val="2"/>
          </rPr>
          <t>1عدم معافیت / 2جانبازان / 3فرزندان شاهد / 4آزادگان / 5پرسنل نیروهای مسلح / 6کارشناس خارجی بند3 ماده91 / 7اجتناب از اخذ مالیات مضاعف / 8مشمولین قانون استخدامی وزارت اطلاعات / 9زرمندگان با سابقه 12ماه جبهه / 10مشمولین ماده25 قانون حمایت از معلولین ( در صورتی که حقوق بگیر همزمان مشمول تخفیف مالیاتی موضوع
ماده 18 قانون حمایت از خانواده و جوانی جمعیت و ماده 25 قانون
حمایت از حقوق معلولان میباشد عبارت 11 + 10 را ارسال نمایید</t>
        </r>
        <r>
          <rPr>
            <b/>
            <sz val="9"/>
            <color indexed="81"/>
            <rFont val="Tahoma"/>
            <family val="2"/>
          </rPr>
          <t xml:space="preserve"> 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" authorId="0" shapeId="0" xr:uid="{C26D3937-58B2-4D79-9811-1DDEAE6C0D28}">
      <text>
        <r>
          <rPr>
            <b/>
            <sz val="14"/>
            <color indexed="81"/>
            <rFont val="Tahoma"/>
            <family val="2"/>
          </rPr>
          <t>103جمهوری اسلامی ایران</t>
        </r>
      </text>
    </comment>
    <comment ref="T2" authorId="0" shapeId="0" xr:uid="{18256EF8-4478-4A00-9B44-FECDC5F81748}">
      <text>
        <r>
          <rPr>
            <b/>
            <sz val="12"/>
            <color indexed="81"/>
            <rFont val="Tahoma"/>
            <family val="2"/>
          </rPr>
          <t>1آموزش و فرهنگی / 2اداری و مالی / 3اعضای هیئت علمی دانشگاه / 4امور اجتماعی / 5انبارداری / 6بازاریابی و فروش / 7بهداشت و درمان / 8تحقیقات / 9ترابری / 10تولیدی / 11حراست و نگهبانی / 12خدمات / 13سایر / 14فناوری اطلاعات / 15فنی و مهندسی / 16قضات / 17کارگری / 18کشاورزی و محیط زیست / 19کنترل کیفی</t>
        </r>
      </text>
    </comment>
    <comment ref="V2" authorId="0" shapeId="0" xr:uid="{07389080-1104-47A9-9C16-6EA2BBEEB68D}">
      <text>
        <r>
          <rPr>
            <b/>
            <sz val="12"/>
            <color indexed="81"/>
            <rFont val="Tahoma"/>
            <family val="2"/>
          </rPr>
          <t>1قراردادی / 2شرکتی / 3رسمی / 4پیمانی / 5مامور / 6کارمزدی / 7خریدخدمت / 8ساعتی / 9روزمزد / 10رسمی-آزمایشی / 11رسمی فصلی / 12سای</t>
        </r>
        <r>
          <rPr>
            <b/>
            <sz val="9"/>
            <color indexed="81"/>
            <rFont val="Tahoma"/>
            <family val="2"/>
          </rPr>
          <t>ر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AN2" authorId="0" shapeId="0" xr:uid="{6D4500CE-2360-4F11-A4C3-F8CF7250D9E5}">
      <text>
        <r>
          <rPr>
            <b/>
            <sz val="9"/>
            <color indexed="81"/>
            <rFont val="Tahoma"/>
            <family val="2"/>
          </rPr>
          <t>25% مزد شغل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 shapeId="0" xr:uid="{97F5BB7A-2F49-457F-B817-80FF87D839A0}">
      <text>
        <r>
          <rPr>
            <b/>
            <sz val="9"/>
            <color indexed="81"/>
            <rFont val="Tahoma"/>
            <family val="2"/>
          </rPr>
          <t>25% مزد شغل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<sst xmlns="http://schemas.openxmlformats.org/spreadsheetml/2006/main" count="1202" uniqueCount="580">
  <si>
    <t>وضعیت</t>
  </si>
  <si>
    <t>ردیف</t>
  </si>
  <si>
    <t>نام پدر</t>
  </si>
  <si>
    <t>تاریخ تولد</t>
  </si>
  <si>
    <t>شماره شناسنامه</t>
  </si>
  <si>
    <t>مسلسل شناسنامه</t>
  </si>
  <si>
    <t>محل تولد</t>
  </si>
  <si>
    <t>کد ملی</t>
  </si>
  <si>
    <t>شماره بیمه</t>
  </si>
  <si>
    <t>وضعیت تاهل</t>
  </si>
  <si>
    <t>تعداد فرزند</t>
  </si>
  <si>
    <t>نفرات شرکتی</t>
  </si>
  <si>
    <t>مجرد</t>
  </si>
  <si>
    <t>متاهل</t>
  </si>
  <si>
    <t>شیراز</t>
  </si>
  <si>
    <t>گروه شغلی</t>
  </si>
  <si>
    <t xml:space="preserve">مزد روزانه </t>
  </si>
  <si>
    <t>حقوق پایه</t>
  </si>
  <si>
    <t>بن خانوار</t>
  </si>
  <si>
    <t>حق مسکن</t>
  </si>
  <si>
    <t>حق اولاد</t>
  </si>
  <si>
    <t>حق تاهل</t>
  </si>
  <si>
    <t>پایه سنواتی</t>
  </si>
  <si>
    <t>کارکرد قرارداد شده</t>
  </si>
  <si>
    <t>حقوق قرارداد شده</t>
  </si>
  <si>
    <t>حق ماموریت</t>
  </si>
  <si>
    <t>اضافه کار</t>
  </si>
  <si>
    <t>ساعت اضافه کار</t>
  </si>
  <si>
    <t>سایر مزایا</t>
  </si>
  <si>
    <t>حق سنوات</t>
  </si>
  <si>
    <t>عیدی و پادش</t>
  </si>
  <si>
    <t>مرخصی</t>
  </si>
  <si>
    <t>بیمه سهم کارفرما</t>
  </si>
  <si>
    <t>بیمه سهم کارگر</t>
  </si>
  <si>
    <t>بیمه بیکاری</t>
  </si>
  <si>
    <t>جمع</t>
  </si>
  <si>
    <t>نصرت اله</t>
  </si>
  <si>
    <t>جمع بیمه</t>
  </si>
  <si>
    <t>اطلاعات محاسبه حقوق</t>
  </si>
  <si>
    <t>جمع حقوق و مزایا مشمول بیمه</t>
  </si>
  <si>
    <t>...</t>
  </si>
  <si>
    <t>ماه</t>
  </si>
  <si>
    <t>مدرک تحصیلی</t>
  </si>
  <si>
    <t>نام</t>
  </si>
  <si>
    <t>نام خانوادگی</t>
  </si>
  <si>
    <t>کسر مساعده</t>
  </si>
  <si>
    <t xml:space="preserve">حقوق </t>
  </si>
  <si>
    <t>بیمه  قابل پرداخت</t>
  </si>
  <si>
    <t>جمع مزایا غیر مشمول</t>
  </si>
  <si>
    <t>جمع مزایا مشمول غیر مستمر</t>
  </si>
  <si>
    <t>هزینه سفر</t>
  </si>
  <si>
    <t>محمد</t>
  </si>
  <si>
    <t>ملیت</t>
  </si>
  <si>
    <t>نوع بیمه</t>
  </si>
  <si>
    <t>نام بیمه</t>
  </si>
  <si>
    <t>نوع معافیت</t>
  </si>
  <si>
    <t>کشور محل تابعیت</t>
  </si>
  <si>
    <t>کشور محل زندگی</t>
  </si>
  <si>
    <t>کد پستی</t>
  </si>
  <si>
    <t>آدرس</t>
  </si>
  <si>
    <t>رسته</t>
  </si>
  <si>
    <t>نوع استخدام</t>
  </si>
  <si>
    <t>تاریخ شروع به کار</t>
  </si>
  <si>
    <t>تاریخ بازنشستگی</t>
  </si>
  <si>
    <t>تامین اجتماعی</t>
  </si>
  <si>
    <t>سمت شغل</t>
  </si>
  <si>
    <t>اطلاعات شناسنامه ای مطابق با فایل مالیات</t>
  </si>
  <si>
    <t>ادامه اطلاعات</t>
  </si>
  <si>
    <t xml:space="preserve"> مزایا مشمول  بیمه مستمر</t>
  </si>
  <si>
    <t xml:space="preserve"> مزایا مشمول بیمه  غیر مستمر</t>
  </si>
  <si>
    <t xml:space="preserve">مزایا غیر مشمول غیر مستمر </t>
  </si>
  <si>
    <t xml:space="preserve"> مزایا مشمول</t>
  </si>
  <si>
    <t xml:space="preserve">مزایا غیر مشمول بیمه  مستمر </t>
  </si>
  <si>
    <t>مزایا مستمر مشمول مالیات</t>
  </si>
  <si>
    <t>شماره حساب</t>
  </si>
  <si>
    <t>کد کاگاه</t>
  </si>
  <si>
    <t xml:space="preserve">سال </t>
  </si>
  <si>
    <t>شماره</t>
  </si>
  <si>
    <t>ش ش</t>
  </si>
  <si>
    <t>محل صدور</t>
  </si>
  <si>
    <t>تاریخ صدور</t>
  </si>
  <si>
    <t>جنسیت</t>
  </si>
  <si>
    <t>شرح شغل</t>
  </si>
  <si>
    <t>تاریخ ترک کار</t>
  </si>
  <si>
    <t>تعد دروز کارکرد</t>
  </si>
  <si>
    <t>دستمزد روزانه</t>
  </si>
  <si>
    <t>دستمزد ماهانه</t>
  </si>
  <si>
    <t>جمع دستمزد و مزایای مشمول</t>
  </si>
  <si>
    <t>جمع کل دستمزد و مزایای ماهیانه</t>
  </si>
  <si>
    <t>حق بیمه سهم کارگر</t>
  </si>
  <si>
    <t>نرخ پورسنتاژ</t>
  </si>
  <si>
    <t>کد شغل</t>
  </si>
  <si>
    <t>DSW_ID</t>
  </si>
  <si>
    <t>DSW_YY</t>
  </si>
  <si>
    <t>DSW_MM</t>
  </si>
  <si>
    <t>DSW_LISTNO</t>
  </si>
  <si>
    <t>DSW_ID1</t>
  </si>
  <si>
    <t>DSW_FNAME</t>
  </si>
  <si>
    <t>DSW_LNAME</t>
  </si>
  <si>
    <t>DSW_DNAME</t>
  </si>
  <si>
    <t>DSW_IDNO</t>
  </si>
  <si>
    <t>DSW_IDPLC</t>
  </si>
  <si>
    <t>DSW_IDATE</t>
  </si>
  <si>
    <t>DSW_BDATE</t>
  </si>
  <si>
    <t>DSW_SEX</t>
  </si>
  <si>
    <t>DSW_NAT</t>
  </si>
  <si>
    <t>DSW_OCP</t>
  </si>
  <si>
    <t>DSW_SDATE</t>
  </si>
  <si>
    <t>DSW_EDATE</t>
  </si>
  <si>
    <t>DSW_DD</t>
  </si>
  <si>
    <t>DSW_ROOZ</t>
  </si>
  <si>
    <t>DSW_MAH</t>
  </si>
  <si>
    <t>DSW_MAZ</t>
  </si>
  <si>
    <t>DSW_MASH</t>
  </si>
  <si>
    <t>DSW_TOTL</t>
  </si>
  <si>
    <t>DSW_BIME</t>
  </si>
  <si>
    <t>DSW_PRATE</t>
  </si>
  <si>
    <t>DSW_JOB</t>
  </si>
  <si>
    <t>PER_NATCOD</t>
  </si>
  <si>
    <t>9009006151</t>
  </si>
  <si>
    <t>01</t>
  </si>
  <si>
    <t>مرد</t>
  </si>
  <si>
    <t>ایران</t>
  </si>
  <si>
    <t>DSW_INC</t>
  </si>
  <si>
    <t>DSW_SPOUSE</t>
  </si>
  <si>
    <t>حق  تاهل</t>
  </si>
  <si>
    <t xml:space="preserve">کد کارگاه </t>
  </si>
  <si>
    <t>نام کارگاه</t>
  </si>
  <si>
    <t>نام کارفرما</t>
  </si>
  <si>
    <t>آدرس کارگاه</t>
  </si>
  <si>
    <t>نوع لیست</t>
  </si>
  <si>
    <t>شماره لیست</t>
  </si>
  <si>
    <t>شرح لیست</t>
  </si>
  <si>
    <t>تعداد کارکنان</t>
  </si>
  <si>
    <t>مجموع روزهای کارکرد</t>
  </si>
  <si>
    <t>مجمع دستمزد روزانه</t>
  </si>
  <si>
    <t>مجموع دستمزد ماهانه</t>
  </si>
  <si>
    <t>مجموع مزایای ماهانه مشمول</t>
  </si>
  <si>
    <t>مجموع ستمزد و مزایای مشمول</t>
  </si>
  <si>
    <t>مجمموع کل دستمزد و مزایا</t>
  </si>
  <si>
    <t>مجموع بیمه سهم کارگر</t>
  </si>
  <si>
    <t>بیمه سهم کارفرماه</t>
  </si>
  <si>
    <t>نرخ حق بیمه</t>
  </si>
  <si>
    <t>نرخ پورسانتاژ</t>
  </si>
  <si>
    <t xml:space="preserve">نرخ مشاغل سخت </t>
  </si>
  <si>
    <t>ردیف پیمان</t>
  </si>
  <si>
    <t>DSK_ID</t>
  </si>
  <si>
    <t>DSK_NAME</t>
  </si>
  <si>
    <t>DSK_FARM</t>
  </si>
  <si>
    <t>DSK_ADRS</t>
  </si>
  <si>
    <t>DSK_KIND</t>
  </si>
  <si>
    <t>DSK_YY</t>
  </si>
  <si>
    <t>DSK_MM</t>
  </si>
  <si>
    <t>DSK_LISTNO</t>
  </si>
  <si>
    <t>DSK_DISC</t>
  </si>
  <si>
    <t>DSK_NUM</t>
  </si>
  <si>
    <t>DSK_TDD</t>
  </si>
  <si>
    <t>DSK_TROOZ</t>
  </si>
  <si>
    <t>DSK_TMAH</t>
  </si>
  <si>
    <t>DSK_TMAZ</t>
  </si>
  <si>
    <t>DSK_TMASH</t>
  </si>
  <si>
    <t>DSK_TTOTL</t>
  </si>
  <si>
    <t>DSK_TBIME</t>
  </si>
  <si>
    <t>DSK_TKOSO</t>
  </si>
  <si>
    <t>DSK_BIC</t>
  </si>
  <si>
    <t>DSK_RATE</t>
  </si>
  <si>
    <t>DSK_PRATE</t>
  </si>
  <si>
    <t>DSK_BIMH</t>
  </si>
  <si>
    <t>MON_PYM</t>
  </si>
  <si>
    <t>DSK_INC</t>
  </si>
  <si>
    <t>DSK_SPOUSE</t>
  </si>
  <si>
    <t>جمع پایه سنواتی</t>
  </si>
  <si>
    <t>جمع حق تاهل</t>
  </si>
  <si>
    <t>پاینده توان ساینا</t>
  </si>
  <si>
    <t>مزایای ماهانه مشمول</t>
  </si>
  <si>
    <t>حقوق و مزایای مستمر مالیات</t>
  </si>
  <si>
    <t>علي</t>
  </si>
  <si>
    <t>مديرپروژه</t>
  </si>
  <si>
    <t>نام  پدر</t>
  </si>
  <si>
    <t>حسن</t>
  </si>
  <si>
    <t>دیر</t>
  </si>
  <si>
    <t>فراشبند</t>
  </si>
  <si>
    <t>تنظیمات فایل WH</t>
  </si>
  <si>
    <t>تنظیمات فایل WP</t>
  </si>
  <si>
    <t>جدول whfilename</t>
  </si>
  <si>
    <t>جدول wpfilename</t>
  </si>
  <si>
    <t>FildeName</t>
  </si>
  <si>
    <t>Default</t>
  </si>
  <si>
    <t>SheetName</t>
  </si>
  <si>
    <t>FileName</t>
  </si>
  <si>
    <t>فروردین</t>
  </si>
  <si>
    <t>نوع پرداختی</t>
  </si>
  <si>
    <t>اردیبهشت</t>
  </si>
  <si>
    <t>محل خدمت</t>
  </si>
  <si>
    <t>خرداد</t>
  </si>
  <si>
    <t>استثنائات</t>
  </si>
  <si>
    <t>تیر</t>
  </si>
  <si>
    <t>نوع ارز</t>
  </si>
  <si>
    <t>مرداد</t>
  </si>
  <si>
    <t>نرخ تسعیرارز</t>
  </si>
  <si>
    <t>شهریور</t>
  </si>
  <si>
    <t>مهر</t>
  </si>
  <si>
    <t>مبلغ حقوق و مزایای مستمر نقتیر معوق که مالیاتی برای آنها محاسبه نشده است- ارزی</t>
  </si>
  <si>
    <t>آبان</t>
  </si>
  <si>
    <t>مسکن</t>
  </si>
  <si>
    <t>آذر</t>
  </si>
  <si>
    <t>مبلغ کسر شده از حقوق کارمند بابت مسکن ماه جاری- ارزی</t>
  </si>
  <si>
    <t>دی</t>
  </si>
  <si>
    <t>اتومبیل اختصاصی</t>
  </si>
  <si>
    <t>بهمن</t>
  </si>
  <si>
    <t>مبلغ کسر شده از حقوق کارمند بابت اتومبیل اختصاصی ماه جاری- ارزی</t>
  </si>
  <si>
    <t>اسفند</t>
  </si>
  <si>
    <t>مبلغ قیمت تمام شده سایر مزایای مستمرغیرنقتیر- ارزی</t>
  </si>
  <si>
    <t>پیشفرض</t>
  </si>
  <si>
    <t>مبلغ حقوق و مزایای مستمر غیرنقتیر معوق که مالیاتی برای آنها محاسبه نشده است- ارزی</t>
  </si>
  <si>
    <t>مبلغ حق الزحمه/حق مشاوره/حق حضور/حق التدریس/حق التحقیق / حق پژوهش- ارزی</t>
  </si>
  <si>
    <t>جدول row</t>
  </si>
  <si>
    <t>مبلغ قراردادهای پژوهشی- ارزی</t>
  </si>
  <si>
    <t>Name</t>
  </si>
  <si>
    <t>Value</t>
  </si>
  <si>
    <t>headerRow</t>
  </si>
  <si>
    <t>firstRow</t>
  </si>
  <si>
    <t>lastRow</t>
  </si>
  <si>
    <t>کارانه- ارزی</t>
  </si>
  <si>
    <t>پاداش )به استثنای پاداش آخر سال و پاداش پایان خدمت( - ارزی</t>
  </si>
  <si>
    <t>پاداش آخر سال- ارزی</t>
  </si>
  <si>
    <t>پاداش پایان خدمت- ارزی</t>
  </si>
  <si>
    <t>خسارت اخراج- ارزی</t>
  </si>
  <si>
    <t>بازخرید خدمت- ارزی</t>
  </si>
  <si>
    <t>حقوق ایام مرخصی استفاده نشده-ارزی</t>
  </si>
  <si>
    <t>مبلغ حقوق و مزایایغیرمستمر نقتیر معوق که مالیاتی برای آنها محاسبه نشده است- ارزی</t>
  </si>
  <si>
    <t>مبلغ قیمت تمام شده مزایای غیر مستمر غیرنقتیر ماه جاری- ارزی</t>
  </si>
  <si>
    <t>مبلغ مزایای غیر مستمر غیر نقتیر معوق که مالیاتی برای آنها محاسبه نشده است- ارزی</t>
  </si>
  <si>
    <t>حق بیمه های عمر و زندگی موضوع ماده 137 ق.م.م</t>
  </si>
  <si>
    <t>خالص پرداختی به حقوق بگیر</t>
  </si>
  <si>
    <t>Location</t>
  </si>
  <si>
    <t>DSKWOR</t>
  </si>
  <si>
    <t>DSKKAR</t>
  </si>
  <si>
    <t>BEMEH</t>
  </si>
  <si>
    <t>MALIAT</t>
  </si>
  <si>
    <t>بیمه</t>
  </si>
  <si>
    <t>رد شدن بیمه</t>
  </si>
  <si>
    <t>سریال</t>
  </si>
  <si>
    <t>پتروشيمي سیراف</t>
  </si>
  <si>
    <t>تعداد سال کارکرد</t>
  </si>
  <si>
    <t>کارکرد</t>
  </si>
  <si>
    <t>فایل خام بیمه\DSKWOR00.DBF</t>
  </si>
  <si>
    <t>فایل خام بیمه\DSKKAR00.DBF</t>
  </si>
  <si>
    <t>حق التدریس/حق التحقیق/ حق پژوهش</t>
  </si>
  <si>
    <t>حق کشیک</t>
  </si>
  <si>
    <t>رفاهی و انگیزشی و بهره وری</t>
  </si>
  <si>
    <t>حق السعی ) به استثنای مزد، حقوق، پاداش(</t>
  </si>
  <si>
    <t>گروه</t>
  </si>
  <si>
    <t>تعداد روز ماه</t>
  </si>
  <si>
    <t>چک مالیات</t>
  </si>
  <si>
    <t>توضیحات</t>
  </si>
  <si>
    <t>1ریالی / 2ارزی / 3ریالی ارزی</t>
  </si>
  <si>
    <t>1عادی / 2مناطق کمتر توسعه یافته / 3پارک علم و فناوری / 4ماده12 قانون حداکثر استفاده از توان تولیدی و خدماتی در تامین نیازهای کشور</t>
  </si>
  <si>
    <t>1عادی / 2اعضای عیئت علمی دانشکاه ها / 3قضات دادگستری</t>
  </si>
  <si>
    <t>84ریال ایران</t>
  </si>
  <si>
    <t>1عدم استفاده از مسکن / 2مسکن با اثاثیه / 3مسکن بدون اثاثیه</t>
  </si>
  <si>
    <t>1عدم استفاده از اتومبیل اختصاصی / 2اتوموبیل با راننده / 3اتومبیل بدون راننده</t>
  </si>
  <si>
    <t>مالیات</t>
  </si>
  <si>
    <t xml:space="preserve">درصد فوق العاده ایاب و ذهاب  و کمک رفاهی ماهیانه  </t>
  </si>
  <si>
    <t>درصد نوبت کاری</t>
  </si>
  <si>
    <t xml:space="preserve">درصد فوق العاده جذب تخصصی ماهیانه </t>
  </si>
  <si>
    <t>درصد فوق العاده بدی آب و هوا</t>
  </si>
  <si>
    <t xml:space="preserve">فوق العاده جذب تخصصی دوری از خانواده </t>
  </si>
  <si>
    <t>فوق العاده پارس جنوبی</t>
  </si>
  <si>
    <t xml:space="preserve"> روز جمعه کاری</t>
  </si>
  <si>
    <t>روز بیمه</t>
  </si>
  <si>
    <t>جمعه کاری</t>
  </si>
  <si>
    <t>هزینه سفر یک روز</t>
  </si>
  <si>
    <t>ماموریت</t>
  </si>
  <si>
    <t xml:space="preserve"> فوق العاده ایاب و ذهاب  و کمک رفاهی </t>
  </si>
  <si>
    <t>فوق العاده جذب بازار کار</t>
  </si>
  <si>
    <t>فوق العاده بدی آب و هوا</t>
  </si>
  <si>
    <t xml:space="preserve"> فوق العاده جذب تخصصی دوری از خانواده </t>
  </si>
  <si>
    <t xml:space="preserve"> فوق العاده مناطق پارسیان و عسلویه</t>
  </si>
  <si>
    <t>ثابت فوق العاده ایاب و ذهاب</t>
  </si>
  <si>
    <t>مزد مبنا</t>
  </si>
  <si>
    <t>حق السعی به استثنای مزد، حقوق، پاداش</t>
  </si>
  <si>
    <t>حقوق ناخالص</t>
  </si>
  <si>
    <t>حقوق خالص</t>
  </si>
  <si>
    <t>قابل پرداخت</t>
  </si>
  <si>
    <t>موبایل</t>
  </si>
  <si>
    <t>صادق</t>
  </si>
  <si>
    <t>علیرضا</t>
  </si>
  <si>
    <t>عرفان</t>
  </si>
  <si>
    <t>احمد</t>
  </si>
  <si>
    <t>سجاد</t>
  </si>
  <si>
    <t>مسعود</t>
  </si>
  <si>
    <t>رضا</t>
  </si>
  <si>
    <t>سعیدی منش</t>
  </si>
  <si>
    <t>سامان</t>
  </si>
  <si>
    <t>جوکار</t>
  </si>
  <si>
    <t>ارش</t>
  </si>
  <si>
    <t>علیمراد</t>
  </si>
  <si>
    <t>صید علیوند بوری</t>
  </si>
  <si>
    <t>حکمت الله</t>
  </si>
  <si>
    <t>غلام آقا</t>
  </si>
  <si>
    <t>مجید</t>
  </si>
  <si>
    <t>امید</t>
  </si>
  <si>
    <t>صفرعلی</t>
  </si>
  <si>
    <t>عبدالرسول</t>
  </si>
  <si>
    <t>عبدالله</t>
  </si>
  <si>
    <t>منصور</t>
  </si>
  <si>
    <t>علی برات</t>
  </si>
  <si>
    <t>اکبر</t>
  </si>
  <si>
    <t>علی اکبر</t>
  </si>
  <si>
    <t>حسینعلی</t>
  </si>
  <si>
    <t>بیت اله</t>
  </si>
  <si>
    <t>عباس</t>
  </si>
  <si>
    <t>محمد حسن</t>
  </si>
  <si>
    <t>نجف</t>
  </si>
  <si>
    <t>آزاد</t>
  </si>
  <si>
    <t>مراد</t>
  </si>
  <si>
    <t>ممسنی</t>
  </si>
  <si>
    <t>خرم بید</t>
  </si>
  <si>
    <t>گرگان</t>
  </si>
  <si>
    <t>لردگان</t>
  </si>
  <si>
    <t>ابادان</t>
  </si>
  <si>
    <t>ایذه</t>
  </si>
  <si>
    <t>رامهرمز</t>
  </si>
  <si>
    <t>کوهچنار</t>
  </si>
  <si>
    <t>کازرون</t>
  </si>
  <si>
    <t>کهکیلویه</t>
  </si>
  <si>
    <t>کهگیلویه</t>
  </si>
  <si>
    <t>شهرضا</t>
  </si>
  <si>
    <t>اندیکا</t>
  </si>
  <si>
    <t>حيدري</t>
  </si>
  <si>
    <t>عليرضا</t>
  </si>
  <si>
    <t>شيباني</t>
  </si>
  <si>
    <t>حيدري علمدارلو</t>
  </si>
  <si>
    <t>اميرارسلان</t>
  </si>
  <si>
    <t>بيدگي</t>
  </si>
  <si>
    <t>شريفي</t>
  </si>
  <si>
    <t>فيلي</t>
  </si>
  <si>
    <t>جعفري</t>
  </si>
  <si>
    <t>محمدي</t>
  </si>
  <si>
    <t>دانيال</t>
  </si>
  <si>
    <t>شيرواني</t>
  </si>
  <si>
    <t>تقوي سوق</t>
  </si>
  <si>
    <t>سينا</t>
  </si>
  <si>
    <t>بردستاني</t>
  </si>
  <si>
    <t>حفيظ اله</t>
  </si>
  <si>
    <t>رستم يگانه</t>
  </si>
  <si>
    <t>سيد اصغر</t>
  </si>
  <si>
    <t>مرتضوي نيا</t>
  </si>
  <si>
    <t>محمديان نژاد</t>
  </si>
  <si>
    <t>معيني پور</t>
  </si>
  <si>
    <t>پرويز</t>
  </si>
  <si>
    <t>شهرياري فهلياني</t>
  </si>
  <si>
    <t>کمک انباردار</t>
  </si>
  <si>
    <t>انباردار</t>
  </si>
  <si>
    <t>امورپشتيباني</t>
  </si>
  <si>
    <t>افسر ايمني</t>
  </si>
  <si>
    <t>دفترفني</t>
  </si>
  <si>
    <t>نوراباد</t>
  </si>
  <si>
    <t>لردکان</t>
  </si>
  <si>
    <t>آهنگری</t>
  </si>
  <si>
    <t>کوهمره</t>
  </si>
  <si>
    <t>فیروزاباد</t>
  </si>
  <si>
    <t xml:space="preserve"> تاریخ پایان کار</t>
  </si>
  <si>
    <t>4</t>
  </si>
  <si>
    <t>محمد امین</t>
  </si>
  <si>
    <t>محمدی</t>
  </si>
  <si>
    <t>یعقوب</t>
  </si>
  <si>
    <t>024109</t>
  </si>
  <si>
    <t>000222</t>
  </si>
  <si>
    <t>052080</t>
  </si>
  <si>
    <t>000255</t>
  </si>
  <si>
    <t>027212</t>
  </si>
  <si>
    <t>009062</t>
  </si>
  <si>
    <t>عالیشوندی</t>
  </si>
  <si>
    <t>گچساران</t>
  </si>
  <si>
    <t>آرمین</t>
  </si>
  <si>
    <t>4894290013</t>
  </si>
  <si>
    <t>دفترشركت فارس عاليش</t>
  </si>
  <si>
    <t>شرکت نفت و گاز پارس</t>
  </si>
  <si>
    <t>بوشهر شهرستان عسلویه</t>
  </si>
  <si>
    <t>024</t>
  </si>
  <si>
    <t>حسین</t>
  </si>
  <si>
    <t>اکبری</t>
  </si>
  <si>
    <t>ناصرپور</t>
  </si>
  <si>
    <t>1743175949</t>
  </si>
  <si>
    <t>آرمان</t>
  </si>
  <si>
    <t>سعید</t>
  </si>
  <si>
    <t>اهواز</t>
  </si>
  <si>
    <t xml:space="preserve">محمد  </t>
  </si>
  <si>
    <t>احمدی</t>
  </si>
  <si>
    <t>محمود</t>
  </si>
  <si>
    <t>1810146224</t>
  </si>
  <si>
    <t>آبادان</t>
  </si>
  <si>
    <t>ساعت کارکرد</t>
  </si>
  <si>
    <t>ساعت کار قرارداد شده</t>
  </si>
  <si>
    <t>رمز</t>
  </si>
  <si>
    <t>منوچهر</t>
  </si>
  <si>
    <t>حیدری</t>
  </si>
  <si>
    <t>اسکندر</t>
  </si>
  <si>
    <t>9موالید</t>
  </si>
  <si>
    <t>باغملک</t>
  </si>
  <si>
    <t>مدیر پروژه</t>
  </si>
  <si>
    <t>خوزستان</t>
  </si>
  <si>
    <t>فریدون</t>
  </si>
  <si>
    <t>محمد رفیع</t>
  </si>
  <si>
    <t>257</t>
  </si>
  <si>
    <t>هفتگل</t>
  </si>
  <si>
    <t>maliat</t>
  </si>
  <si>
    <t>مبلغ (ریال)</t>
  </si>
  <si>
    <t>شماره حساب ملی / شبا مقصد</t>
  </si>
  <si>
    <t>نام گیرنده</t>
  </si>
  <si>
    <t>شناسه واریز (اختیاری - حداکثر 35 کاراکتر)</t>
  </si>
  <si>
    <t>کد ملی (اختیاری)</t>
  </si>
  <si>
    <t>نام و نام خانوادگی</t>
  </si>
  <si>
    <t>DataHeader</t>
  </si>
  <si>
    <t>TableHeader</t>
  </si>
  <si>
    <t>0341424618008</t>
  </si>
  <si>
    <t>0316916557002</t>
  </si>
  <si>
    <t>0346116584005</t>
  </si>
  <si>
    <t>0317040425006</t>
  </si>
  <si>
    <t>0354031479009</t>
  </si>
  <si>
    <t>0346484713003</t>
  </si>
  <si>
    <t>0347731781005</t>
  </si>
  <si>
    <t>0305538481003</t>
  </si>
  <si>
    <t>0373040299006</t>
  </si>
  <si>
    <t>0305302920002</t>
  </si>
  <si>
    <t>0119287673000</t>
  </si>
  <si>
    <t>0373233834001</t>
  </si>
  <si>
    <t>0347053553005</t>
  </si>
  <si>
    <t>0114072807002</t>
  </si>
  <si>
    <t>0369013870001</t>
  </si>
  <si>
    <t>0114814784002</t>
  </si>
  <si>
    <t>0360452605000</t>
  </si>
  <si>
    <t>0113496303000</t>
  </si>
  <si>
    <t>0307930674006</t>
  </si>
  <si>
    <t>0115729772005</t>
  </si>
  <si>
    <t>0339081660000</t>
  </si>
  <si>
    <t>0225656959004</t>
  </si>
  <si>
    <t>0222819804005</t>
  </si>
  <si>
    <t>0230842079003</t>
  </si>
  <si>
    <t>0349845523003</t>
  </si>
  <si>
    <t>0110920883000</t>
  </si>
  <si>
    <t>0119551926000</t>
  </si>
  <si>
    <t>bank</t>
  </si>
  <si>
    <t>BANK</t>
  </si>
  <si>
    <t xml:space="preserve">بانک ملی </t>
  </si>
  <si>
    <t>امین</t>
  </si>
  <si>
    <t>داودی مفرد</t>
  </si>
  <si>
    <t>امیرحسین</t>
  </si>
  <si>
    <t>4680036591</t>
  </si>
  <si>
    <t>اردل</t>
  </si>
  <si>
    <t>شاهرخ</t>
  </si>
  <si>
    <t>علی پور دستگردی</t>
  </si>
  <si>
    <t>محمدقلی</t>
  </si>
  <si>
    <t>963</t>
  </si>
  <si>
    <t>مسجدسلیمان</t>
  </si>
  <si>
    <t>محمدرضا</t>
  </si>
  <si>
    <t>امیدی</t>
  </si>
  <si>
    <t>ابراهیم</t>
  </si>
  <si>
    <t>گناوه</t>
  </si>
  <si>
    <t xml:space="preserve">کیوان </t>
  </si>
  <si>
    <t>ایمانی</t>
  </si>
  <si>
    <t>جهانگیر</t>
  </si>
  <si>
    <t>بویراحمد</t>
  </si>
  <si>
    <t>دفتر فنی</t>
  </si>
  <si>
    <t>نسیمی</t>
  </si>
  <si>
    <t>احمدعلی</t>
  </si>
  <si>
    <t>1053</t>
  </si>
  <si>
    <t>درخشان علمدارلو</t>
  </si>
  <si>
    <t>الامان</t>
  </si>
  <si>
    <t>243</t>
  </si>
  <si>
    <t>زرقان</t>
  </si>
  <si>
    <t>2</t>
  </si>
  <si>
    <t>امیری</t>
  </si>
  <si>
    <t>2440057436</t>
  </si>
  <si>
    <t>IR640120010000001767102784</t>
  </si>
  <si>
    <t>IR730600600202500884434001</t>
  </si>
  <si>
    <t>کسورات</t>
  </si>
  <si>
    <t>رزمجوقلايي</t>
  </si>
  <si>
    <t>جهانبخشی</t>
  </si>
  <si>
    <t>عزیز</t>
  </si>
  <si>
    <t>2280654644</t>
  </si>
  <si>
    <t>خرم بيد</t>
  </si>
  <si>
    <t>6810067541</t>
  </si>
  <si>
    <t>داریوش</t>
  </si>
  <si>
    <t>بیمه 1405</t>
  </si>
  <si>
    <t>WH140501</t>
  </si>
  <si>
    <t>WP140501</t>
  </si>
  <si>
    <t>WH140502</t>
  </si>
  <si>
    <t>WP140502</t>
  </si>
  <si>
    <t>WH140503</t>
  </si>
  <si>
    <t>WP140503</t>
  </si>
  <si>
    <t>WH140504</t>
  </si>
  <si>
    <t>WP140504</t>
  </si>
  <si>
    <t>WH140505</t>
  </si>
  <si>
    <t>WP140505</t>
  </si>
  <si>
    <t>WH140506</t>
  </si>
  <si>
    <t>WP140506</t>
  </si>
  <si>
    <t>WH140507</t>
  </si>
  <si>
    <t>WP140507</t>
  </si>
  <si>
    <t>WH140508</t>
  </si>
  <si>
    <t>WP140508</t>
  </si>
  <si>
    <t>WH140509</t>
  </si>
  <si>
    <t>WP140509</t>
  </si>
  <si>
    <t>WH140510</t>
  </si>
  <si>
    <t>WP140510</t>
  </si>
  <si>
    <t>WH140511</t>
  </si>
  <si>
    <t>WP140511</t>
  </si>
  <si>
    <t>WH140512</t>
  </si>
  <si>
    <t>WP140512</t>
  </si>
  <si>
    <t>WH140500</t>
  </si>
  <si>
    <t>WP140500</t>
  </si>
  <si>
    <t>مالیات 1405</t>
  </si>
  <si>
    <t>بانک 1405</t>
  </si>
  <si>
    <t>05</t>
  </si>
  <si>
    <t>مزد شغل</t>
  </si>
  <si>
    <t>پایه سنوات</t>
  </si>
  <si>
    <t>31</t>
  </si>
  <si>
    <t>شاغل</t>
  </si>
  <si>
    <t>مطر</t>
  </si>
  <si>
    <t>خمیس</t>
  </si>
  <si>
    <t>کنگان</t>
  </si>
  <si>
    <t>3</t>
  </si>
  <si>
    <t>نگهبان</t>
  </si>
  <si>
    <t>028047</t>
  </si>
  <si>
    <t xml:space="preserve">مهدی </t>
  </si>
  <si>
    <t>الماسی</t>
  </si>
  <si>
    <t>شکرالله</t>
  </si>
  <si>
    <t>باغبهزاد</t>
  </si>
  <si>
    <t>22د</t>
  </si>
  <si>
    <t>034420</t>
  </si>
  <si>
    <t>رئيس دفتر فنی</t>
  </si>
  <si>
    <t xml:space="preserve">انبارداری حقوق فروردین 1405 </t>
  </si>
  <si>
    <t>0224026274005</t>
  </si>
  <si>
    <t>0122299569002</t>
  </si>
  <si>
    <t>0379068267004</t>
  </si>
  <si>
    <t>0377147821006</t>
  </si>
  <si>
    <t>0322864719001</t>
  </si>
  <si>
    <t>0317229316005</t>
  </si>
  <si>
    <t>0323118524001</t>
  </si>
  <si>
    <t>0215395193009</t>
  </si>
  <si>
    <t>0221545184005</t>
  </si>
  <si>
    <t>IR080120010000002284568819</t>
  </si>
  <si>
    <t>میثم</t>
  </si>
  <si>
    <t>اسدیان</t>
  </si>
  <si>
    <t>فسا</t>
  </si>
  <si>
    <t>حاجی</t>
  </si>
  <si>
    <t>37</t>
  </si>
  <si>
    <t>ماه بعد به اندازه بیمه از او کم میشود</t>
  </si>
  <si>
    <t>رشیدی</t>
  </si>
  <si>
    <t>محمد علی</t>
  </si>
  <si>
    <t>احسان</t>
  </si>
  <si>
    <t>قاسمی</t>
  </si>
  <si>
    <t>نیما</t>
  </si>
  <si>
    <t>نیکنام</t>
  </si>
  <si>
    <t>مهران</t>
  </si>
  <si>
    <t>مهدی علمدارلو</t>
  </si>
  <si>
    <t>0380028500009</t>
  </si>
  <si>
    <t>0356536110007</t>
  </si>
  <si>
    <t>0352699568001</t>
  </si>
  <si>
    <t>0109690407000</t>
  </si>
  <si>
    <t>0307828928001</t>
  </si>
  <si>
    <t>عبدالكريم</t>
  </si>
  <si>
    <t>نورآباد</t>
  </si>
  <si>
    <t>2050</t>
  </si>
  <si>
    <t>بوشهر</t>
  </si>
  <si>
    <t>مصطفی</t>
  </si>
  <si>
    <t>رامشیر</t>
  </si>
  <si>
    <t>محمد حسین</t>
  </si>
  <si>
    <t>024110</t>
  </si>
  <si>
    <t>امیر حسین</t>
  </si>
  <si>
    <t>نوری فروشانی</t>
  </si>
  <si>
    <t>04</t>
  </si>
  <si>
    <t>انبارداری  بیمه تیر 1405</t>
  </si>
  <si>
    <t>شناسه واریز</t>
  </si>
  <si>
    <t>شرح شناسه واریز</t>
  </si>
  <si>
    <t>,</t>
  </si>
  <si>
    <t>اصفهان</t>
  </si>
  <si>
    <t>محمد مهدی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</si>
</sst>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-_ ;_ * #,##0\-_ ;_ * &quot;-&quot;_-_ ;_ @_ "/>
    <numFmt numFmtId="165" formatCode="_(* #,##0_);_(* \(#,##0\);_(* &quot;-&quot;??_);_(@_)"/>
    <numFmt numFmtId="166" formatCode="_ * #._ ;_ * #._ ;_ * &quot;-&quot;_-_ ;_ @_ⴆ"/>
    <numFmt numFmtId="167" formatCode="_-* #,##0.00_-;_-* #,##0.00\-;_-* &quot;-&quot;??_-;_-@_-"/>
    <numFmt numFmtId="168" formatCode="_-&quot;$&quot;* #,##0_-;\-&quot;$&quot;* #,##0_-;_-&quot;$&quot;* &quot;-&quot;_-;_-@_-"/>
    <numFmt numFmtId="169" formatCode="0.00_)"/>
    <numFmt numFmtId="170" formatCode="&quot;\&quot;#,##0;[Red]&quot;\&quot;&quot;\&quot;\-#,##0"/>
    <numFmt numFmtId="171" formatCode="&quot;\&quot;#,##0.00;[Red]&quot;\&quot;&quot;\&quot;&quot;\&quot;&quot;\&quot;&quot;\&quot;&quot;\&quot;\-#,##0.00"/>
    <numFmt numFmtId="172" formatCode="[$-409]d/mmm/yy;@"/>
    <numFmt numFmtId="173" formatCode="[$-409]d\-mmm;@"/>
    <numFmt numFmtId="174" formatCode="_ * #.##0_-_ ;_ * #.##0\-_ ;_ * &quot;-&quot;_-_ ;_ @_ "/>
    <numFmt numFmtId="175" formatCode="0.0%"/>
    <numFmt numFmtId="176" formatCode="#,##0;[Red]#,##0"/>
    <numFmt numFmtId="177" formatCode="[$-2000401]0"/>
    <numFmt numFmtId="178" formatCode="[$-3000401]0"/>
  </numFmts>
  <fonts count="43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indexed="8"/>
      <name val="Arial"/>
      <family val="2"/>
      <charset val="178"/>
    </font>
    <font>
      <sz val="10"/>
      <name val="Arial"/>
      <family val="2"/>
    </font>
    <font>
      <b/>
      <sz val="12"/>
      <name val="Arial"/>
      <family val="2"/>
    </font>
    <font>
      <sz val="10"/>
      <name val="Arabic Transparent"/>
      <charset val="178"/>
    </font>
    <font>
      <sz val="10"/>
      <name val="Arial"/>
      <family val="2"/>
      <charset val="178"/>
    </font>
    <font>
      <sz val="8"/>
      <name val="Arial"/>
      <family val="2"/>
      <charset val="178"/>
    </font>
    <font>
      <b/>
      <i/>
      <sz val="16"/>
      <name val="Helv"/>
      <family val="2"/>
      <charset val="178"/>
    </font>
    <font>
      <sz val="10"/>
      <name val="Times New Roman"/>
      <family val="1"/>
      <charset val="178"/>
    </font>
    <font>
      <sz val="14"/>
      <name val="뼻뮝"/>
      <family val="3"/>
      <charset val="178"/>
    </font>
    <font>
      <sz val="12"/>
      <name val="뼻뮝"/>
      <family val="1"/>
      <charset val="178"/>
    </font>
    <font>
      <sz val="12"/>
      <name val="바탕체"/>
      <family val="1"/>
      <charset val="129"/>
    </font>
    <font>
      <sz val="10"/>
      <name val="ＭＳ 明朝"/>
      <family val="1"/>
      <charset val="128"/>
    </font>
    <font>
      <sz val="16"/>
      <color theme="1"/>
      <name val="Calibri"/>
      <family val="2"/>
    </font>
    <font>
      <sz val="10"/>
      <color rgb="FF000000"/>
      <name val="Times New Roman"/>
      <family val="1"/>
    </font>
    <font>
      <sz val="11"/>
      <color rgb="FF9C5700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2"/>
      <color theme="4"/>
      <name val="Arial"/>
      <family val="2"/>
      <scheme val="minor"/>
    </font>
    <font>
      <sz val="8"/>
      <name val="Arial"/>
      <family val="2"/>
      <scheme val="minor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theme="4" tint="-0.499984740745262"/>
      <name val="Arial"/>
      <family val="2"/>
      <scheme val="minor"/>
    </font>
    <font>
      <b/>
      <sz val="11"/>
      <color rgb="FFFF0000"/>
      <name val="Arial"/>
      <family val="2"/>
      <scheme val="minor"/>
    </font>
    <font>
      <sz val="8"/>
      <color rgb="FF006100"/>
      <name val="Arial"/>
      <family val="2"/>
      <scheme val="minor"/>
    </font>
    <font>
      <b/>
      <sz val="11"/>
      <color theme="5" tint="-0.499984740745262"/>
      <name val="Arial"/>
      <family val="2"/>
      <scheme val="minor"/>
    </font>
    <font>
      <b/>
      <sz val="16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sz val="11"/>
      <color rgb="FFFF0000"/>
      <name val="Arial"/>
      <family val="2"/>
    </font>
    <font>
      <b/>
      <sz val="11"/>
      <color theme="0"/>
      <name val="Tahoma"/>
      <family val="2"/>
    </font>
    <font>
      <b/>
      <sz val="9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9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7" fillId="0" borderId="0"/>
    <xf numFmtId="0" fontId="11" fillId="0" borderId="0" applyNumberFormat="0">
      <alignment horizontal="right"/>
    </xf>
    <xf numFmtId="0" fontId="11" fillId="0" borderId="0" applyNumberFormat="0">
      <alignment horizontal="right"/>
    </xf>
    <xf numFmtId="0" fontId="9" fillId="0" borderId="0"/>
    <xf numFmtId="0" fontId="11" fillId="0" borderId="0" applyNumberFormat="0">
      <alignment horizontal="right"/>
    </xf>
    <xf numFmtId="0" fontId="9" fillId="0" borderId="0"/>
    <xf numFmtId="0" fontId="10" fillId="0" borderId="10">
      <alignment horizontal="justify" vertical="center"/>
    </xf>
    <xf numFmtId="0" fontId="11" fillId="0" borderId="0" applyNumberFormat="0">
      <alignment horizontal="right"/>
    </xf>
    <xf numFmtId="41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3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" fillId="0" borderId="0" applyFont="0" applyFill="0" applyBorder="0" applyAlignment="0" applyProtection="0"/>
    <xf numFmtId="2" fontId="9" fillId="0" borderId="0" applyFont="0" applyFill="0" applyBorder="0" applyAlignment="0" applyProtection="0"/>
    <xf numFmtId="38" fontId="13" fillId="12" borderId="0" applyNumberFormat="0" applyBorder="0" applyAlignment="0" applyProtection="0"/>
    <xf numFmtId="10" fontId="13" fillId="13" borderId="1" applyNumberFormat="0" applyBorder="0" applyAlignment="0" applyProtection="0"/>
    <xf numFmtId="0" fontId="11" fillId="0" borderId="0" applyNumberFormat="0">
      <alignment horizontal="right"/>
    </xf>
    <xf numFmtId="169" fontId="14" fillId="0" borderId="0"/>
    <xf numFmtId="0" fontId="9" fillId="0" borderId="0"/>
    <xf numFmtId="172" fontId="7" fillId="0" borderId="0"/>
    <xf numFmtId="172" fontId="1" fillId="0" borderId="0"/>
    <xf numFmtId="172" fontId="7" fillId="0" borderId="0"/>
    <xf numFmtId="172" fontId="7" fillId="0" borderId="0"/>
    <xf numFmtId="172" fontId="7" fillId="0" borderId="0"/>
    <xf numFmtId="172" fontId="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20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172" fontId="1" fillId="0" borderId="0"/>
    <xf numFmtId="0" fontId="1" fillId="0" borderId="0"/>
    <xf numFmtId="172" fontId="1" fillId="0" borderId="0"/>
    <xf numFmtId="172" fontId="1" fillId="0" borderId="0"/>
    <xf numFmtId="0" fontId="11" fillId="0" borderId="0" applyNumberFormat="0">
      <alignment horizontal="right"/>
    </xf>
    <xf numFmtId="0" fontId="15" fillId="0" borderId="0"/>
    <xf numFmtId="10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1" fillId="0" borderId="0" applyNumberFormat="0">
      <alignment horizontal="right"/>
    </xf>
    <xf numFmtId="0" fontId="11" fillId="0" borderId="0" applyNumberFormat="0">
      <alignment horizontal="right"/>
    </xf>
    <xf numFmtId="0" fontId="11" fillId="0" borderId="0" applyNumberFormat="0">
      <alignment horizontal="right"/>
    </xf>
    <xf numFmtId="0" fontId="11" fillId="0" borderId="0" applyNumberFormat="0">
      <alignment horizontal="right"/>
    </xf>
    <xf numFmtId="38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9" fontId="9" fillId="0" borderId="0" applyNumberFormat="0" applyFill="0" applyBorder="0" applyAlignment="0" applyProtection="0"/>
    <xf numFmtId="0" fontId="17" fillId="0" borderId="0"/>
    <xf numFmtId="170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8" fillId="0" borderId="0"/>
    <xf numFmtId="0" fontId="19" fillId="0" borderId="0" applyBorder="0"/>
    <xf numFmtId="0" fontId="21" fillId="0" borderId="0"/>
    <xf numFmtId="0" fontId="7" fillId="0" borderId="0"/>
    <xf numFmtId="173" fontId="7" fillId="0" borderId="0"/>
    <xf numFmtId="0" fontId="7" fillId="0" borderId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2" fillId="14" borderId="0" applyNumberFormat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64" fontId="0" fillId="2" borderId="1" xfId="2" applyFont="1" applyFill="1" applyBorder="1" applyAlignment="1">
      <alignment horizontal="center" vertical="center"/>
    </xf>
    <xf numFmtId="165" fontId="0" fillId="2" borderId="1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5" fillId="10" borderId="0" xfId="4" applyAlignment="1">
      <alignment horizontal="center" vertical="center" wrapText="1"/>
    </xf>
    <xf numFmtId="1" fontId="5" fillId="10" borderId="0" xfId="4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" fontId="22" fillId="14" borderId="0" xfId="78" applyNumberFormat="1"/>
    <xf numFmtId="49" fontId="22" fillId="14" borderId="0" xfId="78" applyNumberFormat="1" applyAlignment="1">
      <alignment vertical="center"/>
    </xf>
    <xf numFmtId="0" fontId="22" fillId="14" borderId="0" xfId="78" applyAlignment="1">
      <alignment vertical="center"/>
    </xf>
    <xf numFmtId="164" fontId="22" fillId="14" borderId="0" xfId="78" applyNumberFormat="1" applyAlignment="1">
      <alignment vertical="center"/>
    </xf>
    <xf numFmtId="0" fontId="0" fillId="2" borderId="3" xfId="0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vertical="center" wrapText="1"/>
    </xf>
    <xf numFmtId="166" fontId="3" fillId="3" borderId="8" xfId="0" applyNumberFormat="1" applyFont="1" applyFill="1" applyBorder="1" applyAlignment="1">
      <alignment horizontal="center" vertical="center" wrapText="1"/>
    </xf>
    <xf numFmtId="49" fontId="6" fillId="11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22" fillId="14" borderId="0" xfId="78" applyAlignment="1">
      <alignment horizontal="center" vertical="center" wrapText="1"/>
    </xf>
    <xf numFmtId="0" fontId="6" fillId="11" borderId="0" xfId="5" applyAlignment="1">
      <alignment horizontal="center" vertical="center" wrapText="1"/>
    </xf>
    <xf numFmtId="166" fontId="3" fillId="3" borderId="2" xfId="2" applyNumberFormat="1" applyFont="1" applyFill="1" applyBorder="1" applyAlignment="1">
      <alignment horizontal="center" vertical="center" wrapText="1"/>
    </xf>
    <xf numFmtId="0" fontId="24" fillId="15" borderId="12" xfId="0" applyFont="1" applyFill="1" applyBorder="1" applyAlignment="1">
      <alignment horizontal="center" vertical="center"/>
    </xf>
    <xf numFmtId="0" fontId="24" fillId="15" borderId="1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 wrapText="1"/>
    </xf>
    <xf numFmtId="0" fontId="22" fillId="14" borderId="0" xfId="78" applyAlignment="1">
      <alignment horizontal="center" vertical="center"/>
    </xf>
    <xf numFmtId="0" fontId="24" fillId="15" borderId="1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4" fillId="6" borderId="6" xfId="0" applyFont="1" applyFill="1" applyBorder="1" applyAlignment="1">
      <alignment vertical="center" wrapText="1"/>
    </xf>
    <xf numFmtId="0" fontId="0" fillId="9" borderId="8" xfId="0" applyFill="1" applyBorder="1" applyAlignment="1">
      <alignment horizontal="center" vertical="center"/>
    </xf>
    <xf numFmtId="164" fontId="0" fillId="9" borderId="8" xfId="2" applyFont="1" applyFill="1" applyBorder="1" applyAlignment="1">
      <alignment horizontal="center" vertical="center"/>
    </xf>
    <xf numFmtId="165" fontId="0" fillId="9" borderId="8" xfId="1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 wrapText="1"/>
    </xf>
    <xf numFmtId="166" fontId="3" fillId="3" borderId="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165" fontId="31" fillId="2" borderId="1" xfId="1" applyNumberFormat="1" applyFont="1" applyFill="1" applyBorder="1" applyAlignment="1" applyProtection="1">
      <alignment horizontal="center" vertical="center"/>
    </xf>
    <xf numFmtId="164" fontId="31" fillId="2" borderId="1" xfId="0" applyNumberFormat="1" applyFont="1" applyFill="1" applyBorder="1" applyAlignment="1">
      <alignment horizontal="center" vertical="center"/>
    </xf>
    <xf numFmtId="164" fontId="31" fillId="2" borderId="2" xfId="0" applyNumberFormat="1" applyFont="1" applyFill="1" applyBorder="1" applyAlignment="1">
      <alignment horizontal="center" vertical="center"/>
    </xf>
    <xf numFmtId="0" fontId="33" fillId="3" borderId="8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center" vertical="center" wrapText="1"/>
    </xf>
    <xf numFmtId="164" fontId="31" fillId="2" borderId="1" xfId="2" applyFont="1" applyFill="1" applyBorder="1" applyAlignment="1" applyProtection="1">
      <alignment horizontal="center" vertical="center"/>
    </xf>
    <xf numFmtId="164" fontId="31" fillId="2" borderId="2" xfId="2" applyFont="1" applyFill="1" applyBorder="1" applyAlignment="1" applyProtection="1">
      <alignment horizontal="center" vertical="center"/>
    </xf>
    <xf numFmtId="0" fontId="33" fillId="7" borderId="8" xfId="0" applyFont="1" applyFill="1" applyBorder="1" applyAlignment="1">
      <alignment horizontal="center" vertical="center" wrapText="1"/>
    </xf>
    <xf numFmtId="165" fontId="0" fillId="9" borderId="8" xfId="0" applyNumberFormat="1" applyFill="1" applyBorder="1" applyAlignment="1">
      <alignment horizontal="center" vertical="center"/>
    </xf>
    <xf numFmtId="165" fontId="31" fillId="2" borderId="1" xfId="0" applyNumberFormat="1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 wrapText="1"/>
    </xf>
    <xf numFmtId="0" fontId="25" fillId="8" borderId="8" xfId="0" applyFont="1" applyFill="1" applyBorder="1" applyAlignment="1">
      <alignment horizontal="center" vertical="center" wrapText="1"/>
    </xf>
    <xf numFmtId="0" fontId="36" fillId="16" borderId="8" xfId="0" applyFont="1" applyFill="1" applyBorder="1" applyAlignment="1">
      <alignment horizontal="center" vertical="center" wrapText="1"/>
    </xf>
    <xf numFmtId="166" fontId="36" fillId="16" borderId="8" xfId="0" applyNumberFormat="1" applyFont="1" applyFill="1" applyBorder="1" applyAlignment="1">
      <alignment horizontal="center" vertical="center" wrapText="1"/>
    </xf>
    <xf numFmtId="0" fontId="33" fillId="17" borderId="8" xfId="0" applyFont="1" applyFill="1" applyBorder="1" applyAlignment="1">
      <alignment horizontal="center" vertical="center" wrapText="1"/>
    </xf>
    <xf numFmtId="0" fontId="25" fillId="5" borderId="8" xfId="0" applyFont="1" applyFill="1" applyBorder="1" applyAlignment="1">
      <alignment horizontal="center" vertical="center" wrapText="1"/>
    </xf>
    <xf numFmtId="174" fontId="25" fillId="20" borderId="8" xfId="0" applyNumberFormat="1" applyFont="1" applyFill="1" applyBorder="1" applyAlignment="1">
      <alignment horizontal="center" vertical="center" wrapText="1"/>
    </xf>
    <xf numFmtId="0" fontId="33" fillId="20" borderId="8" xfId="0" applyFont="1" applyFill="1" applyBorder="1" applyAlignment="1">
      <alignment horizontal="center" vertical="center" wrapText="1"/>
    </xf>
    <xf numFmtId="0" fontId="25" fillId="17" borderId="8" xfId="0" applyFont="1" applyFill="1" applyBorder="1" applyAlignment="1">
      <alignment horizontal="center" vertical="center" wrapText="1"/>
    </xf>
    <xf numFmtId="0" fontId="33" fillId="21" borderId="8" xfId="0" applyFont="1" applyFill="1" applyBorder="1" applyAlignment="1">
      <alignment horizontal="center" vertical="center" wrapText="1"/>
    </xf>
    <xf numFmtId="0" fontId="25" fillId="21" borderId="8" xfId="0" applyFont="1" applyFill="1" applyBorder="1" applyAlignment="1">
      <alignment horizontal="center" vertical="center" wrapText="1"/>
    </xf>
    <xf numFmtId="0" fontId="33" fillId="8" borderId="8" xfId="0" applyFont="1" applyFill="1" applyBorder="1" applyAlignment="1">
      <alignment horizontal="center" vertical="center" wrapText="1"/>
    </xf>
    <xf numFmtId="0" fontId="25" fillId="8" borderId="11" xfId="0" applyFont="1" applyFill="1" applyBorder="1" applyAlignment="1">
      <alignment vertical="center" wrapText="1"/>
    </xf>
    <xf numFmtId="0" fontId="25" fillId="8" borderId="11" xfId="0" applyFont="1" applyFill="1" applyBorder="1" applyAlignment="1">
      <alignment horizontal="center" vertical="center" wrapText="1"/>
    </xf>
    <xf numFmtId="0" fontId="25" fillId="8" borderId="7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vertical="center" wrapText="1"/>
    </xf>
    <xf numFmtId="0" fontId="3" fillId="17" borderId="7" xfId="0" applyFont="1" applyFill="1" applyBorder="1" applyAlignment="1">
      <alignment vertical="center" wrapText="1"/>
    </xf>
    <xf numFmtId="0" fontId="0" fillId="17" borderId="0" xfId="0" applyFill="1" applyAlignment="1">
      <alignment vertical="center"/>
    </xf>
    <xf numFmtId="0" fontId="23" fillId="7" borderId="4" xfId="0" applyFont="1" applyFill="1" applyBorder="1" applyAlignment="1">
      <alignment vertical="center"/>
    </xf>
    <xf numFmtId="0" fontId="23" fillId="7" borderId="9" xfId="0" applyFont="1" applyFill="1" applyBorder="1" applyAlignment="1">
      <alignment vertical="center"/>
    </xf>
    <xf numFmtId="0" fontId="0" fillId="9" borderId="1" xfId="0" applyFill="1" applyBorder="1" applyAlignment="1">
      <alignment horizontal="center" vertical="center"/>
    </xf>
    <xf numFmtId="164" fontId="0" fillId="9" borderId="1" xfId="2" applyFont="1" applyFill="1" applyBorder="1" applyAlignment="1">
      <alignment horizontal="center" vertical="center"/>
    </xf>
    <xf numFmtId="165" fontId="0" fillId="9" borderId="1" xfId="1" applyNumberFormat="1" applyFont="1" applyFill="1" applyBorder="1" applyAlignment="1">
      <alignment horizontal="center" vertical="center"/>
    </xf>
    <xf numFmtId="165" fontId="0" fillId="9" borderId="1" xfId="0" applyNumberFormat="1" applyFill="1" applyBorder="1" applyAlignment="1">
      <alignment horizontal="center" vertical="center"/>
    </xf>
    <xf numFmtId="0" fontId="32" fillId="9" borderId="8" xfId="0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166" fontId="0" fillId="0" borderId="0" xfId="2" applyNumberFormat="1" applyFont="1" applyFill="1" applyBorder="1" applyAlignment="1" applyProtection="1">
      <alignment horizontal="center" vertical="center"/>
    </xf>
    <xf numFmtId="164" fontId="0" fillId="0" borderId="0" xfId="2" applyFont="1" applyFill="1" applyBorder="1" applyAlignment="1" applyProtection="1">
      <alignment vertical="center"/>
    </xf>
    <xf numFmtId="0" fontId="5" fillId="0" borderId="0" xfId="4" applyFill="1" applyAlignment="1" applyProtection="1">
      <alignment horizontal="center" vertical="center" wrapText="1"/>
    </xf>
    <xf numFmtId="1" fontId="5" fillId="0" borderId="0" xfId="4" applyNumberFormat="1" applyFill="1" applyAlignment="1" applyProtection="1">
      <alignment horizontal="center" vertical="center" wrapText="1"/>
    </xf>
    <xf numFmtId="165" fontId="5" fillId="0" borderId="0" xfId="4" applyNumberFormat="1" applyFill="1" applyAlignment="1" applyProtection="1">
      <alignment horizontal="center" vertical="center" wrapText="1"/>
    </xf>
    <xf numFmtId="164" fontId="0" fillId="0" borderId="0" xfId="2" applyFont="1" applyBorder="1" applyAlignment="1" applyProtection="1">
      <alignment vertical="center"/>
    </xf>
    <xf numFmtId="177" fontId="0" fillId="0" borderId="0" xfId="0" applyNumberFormat="1" applyAlignment="1">
      <alignment vertical="center"/>
    </xf>
    <xf numFmtId="0" fontId="35" fillId="0" borderId="0" xfId="0" applyFont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 wrapText="1"/>
    </xf>
    <xf numFmtId="175" fontId="35" fillId="0" borderId="18" xfId="0" applyNumberFormat="1" applyFont="1" applyBorder="1" applyAlignment="1">
      <alignment horizontal="center" vertical="center" wrapText="1"/>
    </xf>
    <xf numFmtId="9" fontId="35" fillId="0" borderId="18" xfId="0" applyNumberFormat="1" applyFont="1" applyBorder="1" applyAlignment="1">
      <alignment horizontal="center" vertical="center" wrapText="1"/>
    </xf>
    <xf numFmtId="9" fontId="35" fillId="0" borderId="0" xfId="0" applyNumberFormat="1" applyFont="1" applyAlignment="1">
      <alignment horizontal="center" vertical="center" wrapText="1"/>
    </xf>
    <xf numFmtId="0" fontId="35" fillId="0" borderId="0" xfId="4" applyFont="1" applyFill="1" applyAlignment="1" applyProtection="1">
      <alignment horizontal="center" vertical="center" wrapText="1"/>
    </xf>
    <xf numFmtId="1" fontId="22" fillId="0" borderId="0" xfId="78" applyNumberFormat="1" applyFill="1" applyProtection="1"/>
    <xf numFmtId="1" fontId="0" fillId="0" borderId="0" xfId="0" applyNumberFormat="1" applyAlignment="1">
      <alignment vertical="center"/>
    </xf>
    <xf numFmtId="49" fontId="22" fillId="0" borderId="15" xfId="78" applyNumberFormat="1" applyFill="1" applyBorder="1" applyAlignment="1" applyProtection="1">
      <alignment horizontal="center" vertical="center"/>
    </xf>
    <xf numFmtId="49" fontId="22" fillId="0" borderId="16" xfId="78" applyNumberFormat="1" applyFill="1" applyBorder="1" applyAlignment="1" applyProtection="1">
      <alignment horizontal="center" vertical="center"/>
    </xf>
    <xf numFmtId="0" fontId="22" fillId="0" borderId="16" xfId="78" applyFill="1" applyBorder="1" applyAlignment="1" applyProtection="1">
      <alignment horizontal="center" vertical="center"/>
    </xf>
    <xf numFmtId="9" fontId="22" fillId="0" borderId="16" xfId="78" applyNumberFormat="1" applyFill="1" applyBorder="1" applyAlignment="1" applyProtection="1">
      <alignment horizontal="center" vertical="center"/>
    </xf>
    <xf numFmtId="0" fontId="22" fillId="0" borderId="0" xfId="78" applyNumberFormat="1" applyFill="1" applyBorder="1" applyAlignment="1" applyProtection="1">
      <alignment horizontal="center" vertical="center"/>
    </xf>
    <xf numFmtId="176" fontId="22" fillId="0" borderId="0" xfId="78" applyNumberFormat="1" applyFill="1" applyBorder="1" applyAlignment="1" applyProtection="1">
      <alignment horizontal="center" vertical="center"/>
    </xf>
    <xf numFmtId="49" fontId="22" fillId="0" borderId="0" xfId="78" applyNumberFormat="1" applyFill="1" applyAlignment="1" applyProtection="1">
      <alignment vertical="center"/>
    </xf>
    <xf numFmtId="164" fontId="22" fillId="0" borderId="0" xfId="78" applyNumberFormat="1" applyFill="1" applyAlignment="1" applyProtection="1">
      <alignment vertical="center"/>
    </xf>
    <xf numFmtId="0" fontId="22" fillId="0" borderId="0" xfId="78" applyFill="1" applyAlignment="1" applyProtection="1">
      <alignment vertical="center"/>
    </xf>
    <xf numFmtId="0" fontId="25" fillId="3" borderId="4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24" fillId="0" borderId="15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164" fontId="3" fillId="0" borderId="0" xfId="0" applyNumberFormat="1" applyFont="1" applyAlignment="1">
      <alignment vertical="center"/>
    </xf>
    <xf numFmtId="49" fontId="0" fillId="0" borderId="15" xfId="0" applyNumberFormat="1" applyBorder="1" applyAlignment="1">
      <alignment vertical="center"/>
    </xf>
    <xf numFmtId="49" fontId="0" fillId="0" borderId="16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1" fontId="0" fillId="0" borderId="16" xfId="0" applyNumberFormat="1" applyBorder="1" applyAlignment="1">
      <alignment vertical="center"/>
    </xf>
    <xf numFmtId="165" fontId="0" fillId="0" borderId="16" xfId="0" applyNumberFormat="1" applyBorder="1" applyAlignment="1">
      <alignment vertical="center"/>
    </xf>
    <xf numFmtId="166" fontId="0" fillId="0" borderId="0" xfId="2" applyNumberFormat="1" applyFont="1" applyBorder="1" applyAlignment="1" applyProtection="1">
      <alignment horizontal="center" vertical="center"/>
    </xf>
    <xf numFmtId="43" fontId="0" fillId="0" borderId="0" xfId="0" applyNumberFormat="1" applyAlignment="1">
      <alignment vertical="center"/>
    </xf>
    <xf numFmtId="0" fontId="31" fillId="2" borderId="3" xfId="0" applyFont="1" applyFill="1" applyBorder="1" applyAlignment="1">
      <alignment horizontal="center" vertical="center"/>
    </xf>
    <xf numFmtId="0" fontId="25" fillId="23" borderId="9" xfId="0" applyFont="1" applyFill="1" applyBorder="1" applyAlignment="1">
      <alignment horizontal="center" vertical="center" wrapText="1"/>
    </xf>
    <xf numFmtId="0" fontId="25" fillId="22" borderId="9" xfId="0" applyFont="1" applyFill="1" applyBorder="1" applyAlignment="1">
      <alignment horizontal="center" vertical="center" wrapText="1"/>
    </xf>
    <xf numFmtId="1" fontId="31" fillId="2" borderId="2" xfId="1" applyNumberFormat="1" applyFont="1" applyFill="1" applyBorder="1" applyAlignment="1">
      <alignment horizontal="center" vertical="center"/>
    </xf>
    <xf numFmtId="1" fontId="31" fillId="2" borderId="2" xfId="0" applyNumberFormat="1" applyFont="1" applyFill="1" applyBorder="1" applyAlignment="1">
      <alignment horizontal="center" vertical="center"/>
    </xf>
    <xf numFmtId="0" fontId="41" fillId="15" borderId="12" xfId="0" applyFont="1" applyFill="1" applyBorder="1"/>
    <xf numFmtId="0" fontId="41" fillId="15" borderId="13" xfId="0" applyFont="1" applyFill="1" applyBorder="1"/>
    <xf numFmtId="49" fontId="41" fillId="15" borderId="13" xfId="0" applyNumberFormat="1" applyFont="1" applyFill="1" applyBorder="1"/>
    <xf numFmtId="49" fontId="41" fillId="15" borderId="14" xfId="0" applyNumberFormat="1" applyFont="1" applyFill="1" applyBorder="1"/>
    <xf numFmtId="0" fontId="36" fillId="9" borderId="8" xfId="0" applyFont="1" applyFill="1" applyBorder="1" applyAlignment="1">
      <alignment horizontal="center" vertical="center" wrapText="1"/>
    </xf>
    <xf numFmtId="0" fontId="24" fillId="15" borderId="12" xfId="0" applyFont="1" applyFill="1" applyBorder="1" applyAlignment="1">
      <alignment horizontal="center" vertical="center" wrapText="1"/>
    </xf>
    <xf numFmtId="0" fontId="24" fillId="15" borderId="13" xfId="0" applyFont="1" applyFill="1" applyBorder="1" applyAlignment="1">
      <alignment horizontal="center" vertical="center" wrapText="1"/>
    </xf>
    <xf numFmtId="0" fontId="24" fillId="15" borderId="19" xfId="0" applyFont="1" applyFill="1" applyBorder="1" applyAlignment="1">
      <alignment horizontal="center" vertical="center"/>
    </xf>
    <xf numFmtId="178" fontId="0" fillId="0" borderId="0" xfId="0" applyNumberFormat="1"/>
    <xf numFmtId="0" fontId="25" fillId="3" borderId="7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25" fillId="24" borderId="4" xfId="0" applyFont="1" applyFill="1" applyBorder="1" applyAlignment="1">
      <alignment vertical="center"/>
    </xf>
    <xf numFmtId="0" fontId="42" fillId="3" borderId="7" xfId="0" applyFont="1" applyFill="1" applyBorder="1" applyAlignment="1">
      <alignment horizontal="center" vertical="center" wrapText="1"/>
    </xf>
    <xf numFmtId="0" fontId="24" fillId="15" borderId="16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vertical="center"/>
    </xf>
    <xf numFmtId="165" fontId="0" fillId="0" borderId="0" xfId="1" applyNumberFormat="1" applyFont="1" applyAlignment="1">
      <alignment vertical="center"/>
    </xf>
    <xf numFmtId="165" fontId="0" fillId="0" borderId="0" xfId="1" applyNumberFormat="1" applyFont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25" fillId="17" borderId="6" xfId="0" applyFont="1" applyFill="1" applyBorder="1" applyAlignment="1">
      <alignment horizontal="center" vertical="center"/>
    </xf>
    <xf numFmtId="0" fontId="25" fillId="17" borderId="3" xfId="0" applyFont="1" applyFill="1" applyBorder="1" applyAlignment="1">
      <alignment horizontal="center" vertical="center"/>
    </xf>
    <xf numFmtId="0" fontId="25" fillId="21" borderId="2" xfId="0" applyFont="1" applyFill="1" applyBorder="1" applyAlignment="1">
      <alignment horizontal="center" vertical="center" wrapText="1"/>
    </xf>
    <xf numFmtId="0" fontId="25" fillId="21" borderId="6" xfId="0" applyFont="1" applyFill="1" applyBorder="1" applyAlignment="1">
      <alignment horizontal="center" vertical="center" wrapText="1"/>
    </xf>
    <xf numFmtId="0" fontId="25" fillId="8" borderId="6" xfId="0" applyFont="1" applyFill="1" applyBorder="1" applyAlignment="1">
      <alignment horizontal="center" vertical="center"/>
    </xf>
    <xf numFmtId="0" fontId="36" fillId="16" borderId="6" xfId="0" applyFont="1" applyFill="1" applyBorder="1" applyAlignment="1">
      <alignment horizontal="center" vertical="center" wrapText="1"/>
    </xf>
    <xf numFmtId="0" fontId="36" fillId="9" borderId="6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/>
    </xf>
    <xf numFmtId="0" fontId="25" fillId="7" borderId="17" xfId="0" applyFont="1" applyFill="1" applyBorder="1" applyAlignment="1">
      <alignment horizontal="center" vertical="center"/>
    </xf>
    <xf numFmtId="0" fontId="25" fillId="17" borderId="2" xfId="0" applyFont="1" applyFill="1" applyBorder="1" applyAlignment="1">
      <alignment horizontal="center" vertical="center"/>
    </xf>
    <xf numFmtId="0" fontId="25" fillId="22" borderId="6" xfId="0" applyFont="1" applyFill="1" applyBorder="1" applyAlignment="1">
      <alignment horizontal="center" vertical="center"/>
    </xf>
    <xf numFmtId="0" fontId="25" fillId="20" borderId="6" xfId="0" applyFont="1" applyFill="1" applyBorder="1" applyAlignment="1">
      <alignment horizontal="center" vertical="center"/>
    </xf>
    <xf numFmtId="0" fontId="25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6" fillId="8" borderId="6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</cellXfs>
  <cellStyles count="79">
    <cellStyle name="(2)" xfId="7" xr:uid="{32163146-4F4D-4ABB-85D4-B8F0E9B48D7E}"/>
    <cellStyle name="_Agenda 04-Apr-2008" xfId="8" xr:uid="{47C84D92-A9B7-4620-BCF3-9A1BB08C3E77}"/>
    <cellStyle name="_Main" xfId="9" xr:uid="{DC03ED33-9695-4854-949E-6BAA8D9F2BB5}"/>
    <cellStyle name="_MONTH (2)" xfId="10" xr:uid="{560B86D0-EB1F-4C2F-A24C-4E6A3E0D44ED}"/>
    <cellStyle name="_S-CURVE-AREA B (28-DEC-2007)" xfId="11" xr:uid="{8CFED8F8-F8D4-4721-A548-93A4E56A1FE6}"/>
    <cellStyle name="1,2,3,4,5,6,7,8,9,10" xfId="12" xr:uid="{9D26AB9B-A7E1-4D6C-AA9B-5A684C6A61DC}"/>
    <cellStyle name="2M_S18M " xfId="13" xr:uid="{55F057E4-C12C-4B02-98CD-ED17906B2C9D}"/>
    <cellStyle name="Bad" xfId="5" builtinId="27"/>
    <cellStyle name="Comma" xfId="1" builtinId="3"/>
    <cellStyle name="Comma [0]" xfId="2" builtinId="6"/>
    <cellStyle name="Comma [0] 2" xfId="14" xr:uid="{593D849E-53E4-4D0E-B29D-BF5A386D7B77}"/>
    <cellStyle name="Comma 2" xfId="15" xr:uid="{297B1E67-5A4C-4D96-BE02-21A6E2C7F6EA}"/>
    <cellStyle name="Comma 3" xfId="16" xr:uid="{7C003BB8-20A6-4230-B7CA-114B28788347}"/>
    <cellStyle name="Comma 3 2" xfId="17" xr:uid="{F1C398BE-8B81-4D64-8C1B-583470F31952}"/>
    <cellStyle name="Comma 4" xfId="75" xr:uid="{475E2243-020F-4149-820D-2112607BAAA6}"/>
    <cellStyle name="Comma 5" xfId="76" xr:uid="{F5D7DBA9-4F47-41A6-9E10-B1A9ED0F3D2D}"/>
    <cellStyle name="Comma 6" xfId="77" xr:uid="{0B5DC302-5394-483F-B5EB-E90EF1CAE119}"/>
    <cellStyle name="Comma0" xfId="18" xr:uid="{38B58F40-FB8F-4F8E-AC58-27F113DB5B0C}"/>
    <cellStyle name="Currency 2" xfId="19" xr:uid="{2CBF2F9D-7AB2-4BAA-94FA-B43E91E4BE7D}"/>
    <cellStyle name="Currency0" xfId="20" xr:uid="{1D334D95-8137-4FFD-AFFF-FADA735518D2}"/>
    <cellStyle name="Currency㺘OTD thru NOR " xfId="21" xr:uid="{48FECD9B-E0B4-4602-8FCC-C434E871ED52}"/>
    <cellStyle name="Date" xfId="22" xr:uid="{F26D92F4-EA1B-4EB0-8D2C-7859DB6AA731}"/>
    <cellStyle name="Fixed" xfId="23" xr:uid="{B6DFCB17-E257-442C-88E6-8107F6DEF15D}"/>
    <cellStyle name="Good" xfId="4" builtinId="26"/>
    <cellStyle name="Grey" xfId="24" xr:uid="{3513CF12-84A0-4D32-8A66-8AD276C4B944}"/>
    <cellStyle name="Input [yellow]" xfId="25" xr:uid="{4E1B5586-46E2-487C-A571-9E96ECBD498F}"/>
    <cellStyle name="MS_Arabic" xfId="26" xr:uid="{55F4BB70-5956-4491-89ED-02C6C7CDE376}"/>
    <cellStyle name="Neutral" xfId="78" builtinId="28"/>
    <cellStyle name="Normal" xfId="0" builtinId="0"/>
    <cellStyle name="Normal - Style1" xfId="27" xr:uid="{A80C0C62-AF3D-42F4-A303-8F654078CF8F}"/>
    <cellStyle name="Normal 10" xfId="6" xr:uid="{D3E6B624-9CF0-4CD2-807E-DFAA8D26E0B8}"/>
    <cellStyle name="Normal 11" xfId="74" xr:uid="{7D43AFF4-6410-4A35-B7CD-F225706DD299}"/>
    <cellStyle name="Normal 2" xfId="28" xr:uid="{FCB1B2CC-9005-44DC-A4DD-A7426DAECF1B}"/>
    <cellStyle name="Normal 2 2" xfId="29" xr:uid="{42539310-06AA-4458-A983-3410E988EDDB}"/>
    <cellStyle name="Normal 2 24" xfId="30" xr:uid="{38AD0F6D-1D42-440F-9FC8-5F8E463F9670}"/>
    <cellStyle name="Normal 2 24 2" xfId="31" xr:uid="{ADEBF621-A1E7-4D33-993B-1CD1F7C4857F}"/>
    <cellStyle name="Normal 2 26" xfId="32" xr:uid="{87304F59-F7D5-47E2-8FBF-409FEF3A38C8}"/>
    <cellStyle name="Normal 2 27" xfId="33" xr:uid="{F4C7C705-C6A3-4085-9988-A0FCD1F46C66}"/>
    <cellStyle name="Normal 2 31" xfId="34" xr:uid="{25033168-FBF6-4011-ABC6-E5181A58A124}"/>
    <cellStyle name="Normal 3" xfId="35" xr:uid="{E9C79866-216D-414C-B40E-3A54D2630996}"/>
    <cellStyle name="Normal 3 2" xfId="36" xr:uid="{22BFB76A-626F-48B6-909C-27B9BC22CDE9}"/>
    <cellStyle name="Normal 3 2 2" xfId="72" xr:uid="{FF186BDD-6840-4923-8238-ED9F1CD637B0}"/>
    <cellStyle name="Normal 37 2" xfId="73" xr:uid="{9415AACC-D603-40CC-8A25-B323DE724AC7}"/>
    <cellStyle name="Normal 4" xfId="37" xr:uid="{C1A1E92E-643B-4CE8-B7BB-C92EBCC70F76}"/>
    <cellStyle name="Normal 4 2" xfId="38" xr:uid="{C48001FB-6A64-4837-B773-D6686F87ABCF}"/>
    <cellStyle name="Normal 5" xfId="39" xr:uid="{77F6E396-5DDF-45A0-9303-56A4B95F0FCD}"/>
    <cellStyle name="Normal 6" xfId="40" xr:uid="{FECD30DF-7219-47CC-AD5E-D04F599428E9}"/>
    <cellStyle name="Normal 63" xfId="41" xr:uid="{2789E2B1-B0C3-4660-9D25-5F47EA0A2079}"/>
    <cellStyle name="Normal 64" xfId="42" xr:uid="{7CDDCA12-26D9-4FE4-B52B-849B17D6A677}"/>
    <cellStyle name="Normal 65" xfId="43" xr:uid="{0A9CE1A6-BB0C-4CFC-95A5-9F22255EE798}"/>
    <cellStyle name="Normal 66" xfId="44" xr:uid="{52C7D49D-781A-4C72-9310-AC3261730358}"/>
    <cellStyle name="Normal 67" xfId="45" xr:uid="{FDFA8121-AF75-41BD-AFE7-9B165A5AE597}"/>
    <cellStyle name="Normal 68" xfId="46" xr:uid="{ADCB1850-97E5-46C9-B14C-A6DBB50B77A0}"/>
    <cellStyle name="Normal 69" xfId="47" xr:uid="{D30C95C7-B274-4D32-A134-35F990775F16}"/>
    <cellStyle name="Normal 7" xfId="48" xr:uid="{69099AFA-A006-476C-9196-3867AA06AF3C}"/>
    <cellStyle name="Normal 71" xfId="49" xr:uid="{53B7312F-D4D6-4DB0-95C8-D5E8076B9938}"/>
    <cellStyle name="Normal 72" xfId="50" xr:uid="{D185A105-63A8-41AC-87BA-AEF0B260E3EF}"/>
    <cellStyle name="Normal 8" xfId="71" xr:uid="{C3856C76-8416-45AB-9713-2950622E0E33}"/>
    <cellStyle name="Normal 9" xfId="3" xr:uid="{345441DB-ADB8-439C-864A-3F7EB1D1246C}"/>
    <cellStyle name="NTH (2)" xfId="51" xr:uid="{9AB83021-7D2B-4863-A342-53E358BEF3BA}"/>
    <cellStyle name="Pattern_PRINT" xfId="52" xr:uid="{C9A73298-0D69-4F1F-B433-47E22CB6F525}"/>
    <cellStyle name="Percent [2]" xfId="53" xr:uid="{1EC5195F-2721-4ECA-A0AA-B9FF4FF5F015}"/>
    <cellStyle name="Percent 2" xfId="54" xr:uid="{5867CD0C-C9E4-4A89-90C2-879C7FDA07E1}"/>
    <cellStyle name="Percent 3" xfId="55" xr:uid="{DCFB1CF2-502E-41C9-841B-D4636F14B3DB}"/>
    <cellStyle name="Percent 4" xfId="56" xr:uid="{83A65233-9F06-4998-9E0F-F5423C1D415A}"/>
    <cellStyle name="rabic_S12M (2)" xfId="57" xr:uid="{93958BE7-D9BD-4E28-B4D8-31F1C5F234B7}"/>
    <cellStyle name="Style 1" xfId="58" xr:uid="{05A3E5D8-3DB2-482E-A677-09D73E35D5A6}"/>
    <cellStyle name="ver_Bar2M  (2)" xfId="59" xr:uid="{24C58F1C-0E31-4BA8-9784-C54FDBF04820}"/>
    <cellStyle name="ver2 (4)" xfId="60" xr:uid="{4E4C3932-10CF-4584-9A1A-BFDCE64770CE}"/>
    <cellStyle name="똿뗦먛귟_PRODUCT DETAIL Q1" xfId="61" xr:uid="{897B91C2-B4C6-4AC8-8148-58272FD580C5}"/>
    <cellStyle name="믅됞_PRODUCT DETAIL Q1" xfId="62" xr:uid="{F950B1D5-A378-4080-84BC-CB8526E2A02F}"/>
    <cellStyle name="백분율_ref_list" xfId="63" xr:uid="{201C6C9A-38B9-481A-BF6F-51709274E6E9}"/>
    <cellStyle name="뷭?_BOOKSHIP" xfId="64" xr:uid="{F194256D-98B8-4FA2-9B73-37492D199F02}"/>
    <cellStyle name="콤마 [0]_1202" xfId="65" xr:uid="{7EADA0CF-F18E-4462-8AFA-02D8380B5D12}"/>
    <cellStyle name="콤마_1202" xfId="66" xr:uid="{1177F924-FC7F-45C0-9233-6EB951A05655}"/>
    <cellStyle name="통화 [0]_9634매출 " xfId="67" xr:uid="{99056BEE-A8CD-4AEB-9903-A904DB9EE27A}"/>
    <cellStyle name="통화_9634매출 " xfId="68" xr:uid="{19D5030C-AF34-47B1-970F-CF8FC62361F5}"/>
    <cellStyle name="표준_0N-HANDLING " xfId="69" xr:uid="{0A42CF1F-0DA6-4E97-915A-BBC47B44FB99}"/>
    <cellStyle name="標準_FORM OF PROPOSAL RFP-003" xfId="70" xr:uid="{E72B98DF-8419-4BF5-80E8-C4402F991DA9}"/>
  </cellStyles>
  <dxfs count="370"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0" indent="0" justifyLastLine="0" shrinkToFit="0" readingOrder="0"/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0" indent="0" justifyLastLine="0" shrinkToFit="0" readingOrder="0"/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0" indent="0" justifyLastLine="0" shrinkToFit="0" readingOrder="0"/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0" indent="0" justifyLastLine="0" shrinkToFit="0" readingOrder="0"/>
    </dxf>
    <dxf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000000"/>
          <bgColor rgb="FF375623"/>
        </patternFill>
      </fill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numFmt numFmtId="30" formatCode="@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left style="thin">
          <color indexed="64"/>
        </left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176" formatCode="#,##0;[Red]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B Nazanin"/>
        <charset val="178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B Nazanin"/>
        <charset val="178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B Nazanin"/>
        <charset val="178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B Nazanin"/>
        <charset val="178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9C5700"/>
        <name val="B Traffic"/>
        <charset val="178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rial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rgb="FF006100"/>
        <name val="Arial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64" formatCode="_ * #,##0_-_ ;_ * #,##0\-_ ;_ * &quot;-&quot;_-_ ;_ @_ 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" formatCode="0"/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numFmt numFmtId="1" formatCode="0"/>
      <fill>
        <patternFill patternType="none">
          <fgColor indexed="64"/>
          <bgColor auto="1"/>
        </patternFill>
      </fill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(* #,##0_);_(* \(#,##0\);_(* &quot;-&quot;??_);_(@_)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" formatCode="0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30" formatCode="@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30" formatCode="@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30" formatCode="@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</border>
      <protection locked="1" hidden="0"/>
    </dxf>
    <dxf>
      <alignment horizontal="general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bgColor auto="1"/>
        </patternFill>
      </fill>
      <protection locked="1" hidden="0"/>
    </dxf>
    <dxf>
      <border outline="0">
        <right style="thin">
          <color rgb="FF8EA9DB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fill>
        <patternFill patternType="none">
          <fgColor rgb="FFD9E1F2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none">
          <fgColor theme="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" formatCode="0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164" formatCode="_ * #,##0_-_ ;_ * #,##0\-_ ;_ * &quot;-&quot;_-_ ;_ 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numFmt numFmtId="0" formatCode="General"/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4"/>
        </patternFill>
      </fill>
      <alignment horizontal="general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0" formatCode="General"/>
      <fill>
        <patternFill patternType="solid">
          <fgColor indexed="64"/>
          <bgColor theme="4"/>
        </patternFill>
      </fill>
      <alignment horizontal="general" vertical="center" textRotation="9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name val="Arial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rgb="FF000000"/>
          <bgColor rgb="FF375623"/>
        </patternFill>
      </fill>
      <protection locked="1" hidden="0"/>
    </dxf>
    <dxf>
      <font>
        <b/>
        <strike val="0"/>
        <outline val="0"/>
        <shadow val="0"/>
        <u val="none"/>
        <vertAlign val="baseline"/>
        <sz val="9"/>
        <name val="Arial"/>
        <family val="2"/>
        <scheme val="none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1" hidden="0"/>
    </dxf>
    <dxf>
      <fill>
        <patternFill patternType="solid">
          <fgColor rgb="FF000000"/>
          <bgColor rgb="FF375623"/>
        </patternFill>
      </fill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rgb="FF9C0006"/>
      </font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28575</xdr:rowOff>
        </xdr:from>
        <xdr:to>
          <xdr:col>2</xdr:col>
          <xdr:colOff>66675</xdr:colOff>
          <xdr:row>0</xdr:row>
          <xdr:rowOff>228600</xdr:rowOff>
        </xdr:to>
        <xdr:sp macro="" textlink="">
          <xdr:nvSpPr>
            <xdr:cNvPr id="27649" name="Button 1" descr="فایل WP &#10;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WP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FF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0</xdr:row>
          <xdr:rowOff>285750</xdr:rowOff>
        </xdr:from>
        <xdr:to>
          <xdr:col>2</xdr:col>
          <xdr:colOff>66675</xdr:colOff>
          <xdr:row>1</xdr:row>
          <xdr:rowOff>171450</xdr:rowOff>
        </xdr:to>
        <xdr:sp macro="" textlink="">
          <xdr:nvSpPr>
            <xdr:cNvPr id="27650" name="Button 2" descr="ایجاد فایل WH&#10;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WH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0</xdr:row>
          <xdr:rowOff>304800</xdr:rowOff>
        </xdr:from>
        <xdr:to>
          <xdr:col>5</xdr:col>
          <xdr:colOff>38100</xdr:colOff>
          <xdr:row>1</xdr:row>
          <xdr:rowOff>190500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2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fa-IR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بیمه کارگاه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0</xdr:row>
          <xdr:rowOff>28575</xdr:rowOff>
        </xdr:from>
        <xdr:to>
          <xdr:col>5</xdr:col>
          <xdr:colOff>47625</xdr:colOff>
          <xdr:row>0</xdr:row>
          <xdr:rowOff>228600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2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fa-IR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بیمه کارکنان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</xdr:row>
          <xdr:rowOff>257175</xdr:rowOff>
        </xdr:from>
        <xdr:to>
          <xdr:col>5</xdr:col>
          <xdr:colOff>28575</xdr:colOff>
          <xdr:row>2</xdr:row>
          <xdr:rowOff>161925</xdr:rowOff>
        </xdr:to>
        <xdr:sp macro="" textlink="">
          <xdr:nvSpPr>
            <xdr:cNvPr id="27653" name="infoCheck" descr="اطلاعات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2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0" tIns="18288" rIns="27432" bIns="18288" anchor="ctr" upright="1"/>
            <a:lstStyle/>
            <a:p>
              <a:pPr algn="r" rtl="1">
                <a:defRPr sz="1000"/>
              </a:pPr>
              <a:r>
                <a:rPr lang="fa-I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اطلاعات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238125</xdr:rowOff>
        </xdr:from>
        <xdr:to>
          <xdr:col>2</xdr:col>
          <xdr:colOff>57150</xdr:colOff>
          <xdr:row>2</xdr:row>
          <xdr:rowOff>123825</xdr:rowOff>
        </xdr:to>
        <xdr:sp macro="" textlink="">
          <xdr:nvSpPr>
            <xdr:cNvPr id="27654" name="Button 6" descr="ایجاد فایل WH&#10;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2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fa-IR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بانک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0</xdr:row>
          <xdr:rowOff>47625</xdr:rowOff>
        </xdr:from>
        <xdr:to>
          <xdr:col>6</xdr:col>
          <xdr:colOff>47625</xdr:colOff>
          <xdr:row>0</xdr:row>
          <xdr:rowOff>266700</xdr:rowOff>
        </xdr:to>
        <xdr:sp macro="" textlink="">
          <xdr:nvSpPr>
            <xdr:cNvPr id="27655" name="infoCheck" descr="اطلاعات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2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0" tIns="18288" rIns="27432" bIns="18288" anchor="ctr" upright="1"/>
            <a:lstStyle/>
            <a:p>
              <a:pPr algn="r" rtl="1">
                <a:defRPr sz="1000"/>
              </a:pPr>
              <a:r>
                <a:rPr lang="fa-I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کارکرد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228600</xdr:colOff>
          <xdr:row>1</xdr:row>
          <xdr:rowOff>266700</xdr:rowOff>
        </xdr:from>
        <xdr:to>
          <xdr:col>6</xdr:col>
          <xdr:colOff>28575</xdr:colOff>
          <xdr:row>2</xdr:row>
          <xdr:rowOff>171450</xdr:rowOff>
        </xdr:to>
        <xdr:sp macro="" textlink="">
          <xdr:nvSpPr>
            <xdr:cNvPr id="27656" name="infoCheck" descr="اطلاعات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2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0" tIns="18288" rIns="27432" bIns="18288" anchor="ctr" upright="1"/>
            <a:lstStyle/>
            <a:p>
              <a:pPr algn="r" rtl="1">
                <a:defRPr sz="1000"/>
              </a:pPr>
              <a:r>
                <a:rPr lang="fa-I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جمع و بیمه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0</xdr:rowOff>
        </xdr:from>
        <xdr:to>
          <xdr:col>6</xdr:col>
          <xdr:colOff>38100</xdr:colOff>
          <xdr:row>1</xdr:row>
          <xdr:rowOff>219075</xdr:rowOff>
        </xdr:to>
        <xdr:sp macro="" textlink="">
          <xdr:nvSpPr>
            <xdr:cNvPr id="27657" name="infoCheck" descr="اطلاعات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2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00" mc:Ignorable="a14" a14:legacySpreadsheetColorIndex="11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0" tIns="18288" rIns="27432" bIns="18288" anchor="ctr" upright="1"/>
            <a:lstStyle/>
            <a:p>
              <a:pPr algn="r" rtl="1">
                <a:defRPr sz="1000"/>
              </a:pPr>
              <a:r>
                <a:rPr lang="fa-I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مزایا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2</xdr:row>
          <xdr:rowOff>171450</xdr:rowOff>
        </xdr:from>
        <xdr:to>
          <xdr:col>2</xdr:col>
          <xdr:colOff>85725</xdr:colOff>
          <xdr:row>3</xdr:row>
          <xdr:rowOff>57150</xdr:rowOff>
        </xdr:to>
        <xdr:sp macro="" textlink="">
          <xdr:nvSpPr>
            <xdr:cNvPr id="27658" name="Button 10" descr="ایجاد فایل WH&#10;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2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1">
                <a:defRPr sz="1000"/>
              </a:pPr>
              <a:r>
                <a:rPr lang="fa-IR" sz="11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خلاصه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C2CEF6-561D-45B1-BA2A-997DFE10E974}" name="WHFileNameTable" displayName="WHFileNameTable" ref="H2:I15" totalsRowShown="0" tableBorderDxfId="115">
  <autoFilter ref="H2:I15" xr:uid="{C6E552DE-1226-4561-A3B3-930FF4CE0D3E}">
    <filterColumn colId="0" hiddenButton="1"/>
    <filterColumn colId="1" hiddenButton="1"/>
  </autoFilter>
  <tableColumns count="2">
    <tableColumn id="1" xr3:uid="{8C297A10-4895-45D7-97BF-FE7A1EDD542C}" name="SheetName"/>
    <tableColumn id="2" xr3:uid="{06D3E494-0FE3-43C2-9AEC-681AAD18C3F6}" name="File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AE5D1C-FDD9-4EF6-9637-B4449F435FC9}" name="row" displayName="row" ref="H18:I21" totalsRowShown="0">
  <autoFilter ref="H18:I21" xr:uid="{F25EBC94-992D-4F30-BAD3-A2BF2E4D50C6}"/>
  <tableColumns count="2">
    <tableColumn id="1" xr3:uid="{38DA51D8-CB6B-4893-8E52-10534425F7E9}" name="Name"/>
    <tableColumn id="2" xr3:uid="{AC5EF758-46AB-4B55-9274-07C86FD323B2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29AD83-80C3-4413-A7D6-2DB9E6044524}" name="WPFileNameTable" displayName="WPFileNameTable" ref="K2:L15" totalsRowShown="0" tableBorderDxfId="114">
  <autoFilter ref="K2:L15" xr:uid="{11592D94-2074-4944-92CA-AFA09AEC9011}">
    <filterColumn colId="0" hiddenButton="1"/>
    <filterColumn colId="1" hiddenButton="1"/>
  </autoFilter>
  <tableColumns count="2">
    <tableColumn id="1" xr3:uid="{3F9A03DE-25B6-41CC-A8C4-C062DEEDDD29}" name="SheetName"/>
    <tableColumn id="2" xr3:uid="{D2D6E7DB-15D1-447F-8CA0-3D2FEDD279CD}" name="File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906C26-679D-4861-A00E-941BCC5ADEDD}" name="WHFildeTable" displayName="WHFildeTable" ref="A2:C41" totalsRowShown="0" headerRowDxfId="113" dataDxfId="112">
  <autoFilter ref="A2:C41" xr:uid="{FABCADB8-FD86-430D-A71A-DE770BBB7FA6}">
    <filterColumn colId="0" hiddenButton="1"/>
    <filterColumn colId="1" hiddenButton="1"/>
    <filterColumn colId="2" hiddenButton="1"/>
  </autoFilter>
  <tableColumns count="3">
    <tableColumn id="1" xr3:uid="{E699D8AC-DF31-49E6-ABDA-BE00FD20CF73}" name="FildeName" dataDxfId="111" dataCellStyle="Good"/>
    <tableColumn id="2" xr3:uid="{989E0DBC-2144-4827-9F0B-D1D6DD3B60AB}" name="Default" dataDxfId="110"/>
    <tableColumn id="3" xr3:uid="{93F07CD8-C53C-46C2-BE9B-3C52600CBDAC}" name="توضیحات" dataDxfId="109" dataCellStyle="Goo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3F765D-482F-4D2E-A2FA-1D92FF719B6B}" name="WPFildeTable" displayName="WPFildeTable" ref="E2:F25" totalsRowShown="0">
  <autoFilter ref="E2:F25" xr:uid="{19AC0924-5DE9-4236-B393-89B4386D39EF}">
    <filterColumn colId="0" hiddenButton="1"/>
    <filterColumn colId="1" hiddenButton="1"/>
  </autoFilter>
  <tableColumns count="2">
    <tableColumn id="1" xr3:uid="{24689563-4F91-4873-B6F1-39E499D4A3CA}" name="FildeName" dataDxfId="108"/>
    <tableColumn id="2" xr3:uid="{161CD19B-5B1C-4C9D-88DF-CA1B60B4DD19}" name="Defaul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B885D15-7EC1-4660-96EB-3C3DCF49D38B}" name="DSKWORTable" displayName="DSKWORTable" ref="K21:L50" totalsRowShown="0" headerRowDxfId="107">
  <autoFilter ref="K21:L50" xr:uid="{92A03FD8-D9C5-49B2-91A8-B239BE5F2F51}">
    <filterColumn colId="0" hiddenButton="1"/>
    <filterColumn colId="1" hiddenButton="1"/>
  </autoFilter>
  <tableColumns count="2">
    <tableColumn id="1" xr3:uid="{14ADEAFF-AB1D-45C4-87FE-540F4BA6B029}" name="FildeName" dataDxfId="106"/>
    <tableColumn id="2" xr3:uid="{1D147A12-70AC-4078-85A3-57B297ADEB4A}" name="Default" dataDxfId="10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6BEB3F-3A99-455F-90AC-AE3F23613D4F}" name="FileLocationTable" displayName="FileLocationTable" ref="A43:B48" totalsRowShown="0">
  <autoFilter ref="A43:B48" xr:uid="{DBD51CFC-F15A-494C-9155-F38433DECBEE}"/>
  <tableColumns count="2">
    <tableColumn id="1" xr3:uid="{75AFAB1F-1B24-45DB-9F42-FC2EB6D78E64}" name="Location"/>
    <tableColumn id="2" xr3:uid="{D1321665-DE86-4936-A039-A5273EF43A2C}" name="FileNam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08ED7F3-8A2D-4537-9C2C-202D257D074D}" name="DSKKARTable" displayName="DSKKARTable" ref="H29:I54" totalsRowShown="0" headerRowDxfId="104">
  <autoFilter ref="H29:I54" xr:uid="{D3C67645-CF82-492E-BC29-AAD5159EB4B1}">
    <filterColumn colId="0" hiddenButton="1"/>
    <filterColumn colId="1" hiddenButton="1"/>
  </autoFilter>
  <tableColumns count="2">
    <tableColumn id="1" xr3:uid="{EE72175D-BEEB-4776-AAB2-6113AFF55686}" name="FildeName" dataDxfId="103"/>
    <tableColumn id="2" xr3:uid="{DEBF7A32-928D-41CD-B6C5-85EF2BBCFED8}" name="Default" dataDxfId="102" dataCellStyle="Neutr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6E96E8C-49BF-4735-A2A6-A9C4ADC2C973}" name="BankTable" displayName="BankTable" ref="C56:E63" totalsRowShown="0" tableBorderDxfId="101">
  <autoFilter ref="C56:E63" xr:uid="{76E96E8C-49BF-4735-A2A6-A9C4ADC2C973}">
    <filterColumn colId="0" hiddenButton="1"/>
    <filterColumn colId="1" hiddenButton="1"/>
    <filterColumn colId="2" hiddenButton="1"/>
  </autoFilter>
  <tableColumns count="3">
    <tableColumn id="1" xr3:uid="{698DFC97-3BCE-4935-9DFA-AF0265B91C42}" name="TableHeader"/>
    <tableColumn id="2" xr3:uid="{68BB2DB6-209F-46D1-BCF4-1979A08A7C65}" name="DataHeader"/>
    <tableColumn id="3" xr3:uid="{82B34DBE-E624-492F-9444-3DC7D2205058}" name="Defaul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823E8B0-E68C-4015-BBC9-B9093B8A7012}" name="SummaryTable" displayName="SummaryTable" ref="H57:H69" totalsRowShown="0" headerRowDxfId="100" dataDxfId="98" headerRowBorderDxfId="99" tableBorderDxfId="97" totalsRowBorderDxfId="96">
  <autoFilter ref="H57:H69" xr:uid="{5823E8B0-E68C-4015-BBC9-B9093B8A7012}">
    <filterColumn colId="0" hiddenButton="1"/>
  </autoFilter>
  <tableColumns count="1">
    <tableColumn id="1" xr3:uid="{45B10F52-72F4-4359-9413-EA2C39A6EFFD}" name="FildeName" dataDxfId="9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73ED967-444C-4F23-8DB9-D5D81EE39E9D}" name="Table7" displayName="Table7" ref="C67:E87" totalsRowShown="0">
  <autoFilter ref="C67:E87" xr:uid="{173ED967-444C-4F23-8DB9-D5D81EE39E9D}"/>
  <tableColumns count="3">
    <tableColumn id="1" xr3:uid="{30F44F0D-3BFD-4104-88E3-BC07277C9314}" name="گروه شغلی"/>
    <tableColumn id="2" xr3:uid="{F91636F2-2B4E-4E74-8F88-7EEC3AE6624C}" name="مزد شغل"/>
    <tableColumn id="3" xr3:uid="{182F6EBA-FC37-49FE-9B85-C08782A06CBD}" name="پایه سنوات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B356B8-47B5-44E2-A6EB-AD85B31D3597}" name="emp_info" displayName="emp_info" ref="B2:AT49" headerRowDxfId="90" totalsRowDxfId="88" tableBorderDxfId="89">
  <tableColumns count="45">
    <tableColumn id="1" xr3:uid="{374A8149-C415-490E-AA66-8C27A7A61C1A}" name="ردیف" totalsRowFunction="count" dataDxfId="87" totalsRowDxfId="86">
      <calculatedColumnFormula>#REF!(A1)</calculatedColumnFormula>
    </tableColumn>
    <tableColumn id="2" xr3:uid="{099DECA8-AF27-4637-B65B-0256A386E912}" name="ملیت" dataDxfId="85" totalsRowDxfId="84"/>
    <tableColumn id="3" xr3:uid="{83E6AEF4-321E-427F-A29C-EFCA81E8D9FD}" name="کد ملی" dataDxfId="83" totalsRowDxfId="82"/>
    <tableColumn id="4" xr3:uid="{01C81BDC-EF30-44EE-8C40-446D49AE2B93}" name="نام" dataDxfId="81" totalsRowDxfId="80"/>
    <tableColumn id="5" xr3:uid="{41CBBE46-E7FB-41D2-8FF0-E23C8F781E23}" name="نام خانوادگی" dataDxfId="79" totalsRowDxfId="78"/>
    <tableColumn id="6" xr3:uid="{029BC0C8-A333-4036-8860-8C22898D367A}" name="نام  پدر" dataDxfId="77" totalsRowDxfId="76"/>
    <tableColumn id="7" xr3:uid="{7C5CFDB9-4401-417A-B2B6-22743BAB7BBB}" name="تاریخ تولد" dataDxfId="75" totalsRowDxfId="74"/>
    <tableColumn id="8" xr3:uid="{CD81012A-27BC-4CB1-8FC1-A348A645750B}" name="شماره شناسنامه" dataDxfId="73" totalsRowDxfId="72"/>
    <tableColumn id="9" xr3:uid="{84585E95-9EFB-40FB-80B9-E7CFC52B920E}" name="محل تولد" dataDxfId="71" totalsRowDxfId="70"/>
    <tableColumn id="10" xr3:uid="{099DEC93-E573-4F6C-ACC3-AED82142B95E}" name="مدرک تحصیلی" dataDxfId="69" totalsRowDxfId="68"/>
    <tableColumn id="11" xr3:uid="{3B50DD1A-41B5-41C6-8F6C-7CC3CF5190E1}" name="نوع بیمه" dataDxfId="67" totalsRowDxfId="66"/>
    <tableColumn id="12" xr3:uid="{7719EAF7-D902-4ECF-8522-ED72287F6E83}" name="شماره بیمه" dataDxfId="65" totalsRowDxfId="64"/>
    <tableColumn id="13" xr3:uid="{2D2A5F41-840C-486F-A470-835C01C1F518}" name="نام بیمه" dataDxfId="63" totalsRowDxfId="62"/>
    <tableColumn id="14" xr3:uid="{2ACFF0C2-B344-41DE-A68B-448E5D66F686}" name="نوع معافیت" dataDxfId="61" totalsRowDxfId="60"/>
    <tableColumn id="15" xr3:uid="{FDF601F4-9596-40CB-B2CA-198DD608087B}" name="کشور محل تابعیت" dataDxfId="59" totalsRowDxfId="58" dataCellStyle="Comma [0]"/>
    <tableColumn id="16" xr3:uid="{4AD2CFA5-75B1-4203-BF4E-4E681AEF9AC1}" name="کشور محل زندگی" dataDxfId="57" totalsRowDxfId="56"/>
    <tableColumn id="17" xr3:uid="{E8AA0AEB-497B-4DC1-B896-12D3EDA07A93}" name="کد پستی" dataDxfId="55" totalsRowDxfId="54"/>
    <tableColumn id="18" xr3:uid="{932DCA57-2873-4007-9B04-DAFB8B92E0AE}" name="آدرس" dataDxfId="53" totalsRowDxfId="52"/>
    <tableColumn id="19" xr3:uid="{D6CB9D0B-6678-4262-AA83-40EE772183C0}" name="رسته" dataDxfId="51" totalsRowDxfId="50" dataCellStyle="Comma"/>
    <tableColumn id="20" xr3:uid="{156F2240-57C6-46CA-9816-666BD0EF538E}" name="سمت شغل" dataDxfId="49" totalsRowDxfId="48"/>
    <tableColumn id="21" xr3:uid="{602BF886-2249-4878-9656-9AAB8994CC83}" name="نوع استخدام" dataDxfId="47" totalsRowDxfId="46"/>
    <tableColumn id="22" xr3:uid="{94DE8F20-3FC6-468A-9504-EC7EF4FC87AF}" name="تاریخ شروع به کار" dataDxfId="45" totalsRowDxfId="44"/>
    <tableColumn id="23" xr3:uid="{D384CB0F-FB60-4402-B0F1-5C34084B951B}" name=" تاریخ پایان کار" dataDxfId="43" totalsRowDxfId="42" dataCellStyle="Comma"/>
    <tableColumn id="24" xr3:uid="{808EDEB5-2AE4-47A5-80A9-5414A47B2048}" name="تاریخ بازنشستگی" dataDxfId="41" totalsRowDxfId="40"/>
    <tableColumn id="25" xr3:uid="{36616978-F75E-4DE5-B5DA-03A78B265197}" name="کد شغل" dataDxfId="39" totalsRowDxfId="38"/>
    <tableColumn id="26" xr3:uid="{C3FFA1F1-58F2-4E38-A43C-992D9100C8B1}" name="مسلسل شناسنامه" dataDxfId="37" totalsRowDxfId="36"/>
    <tableColumn id="27" xr3:uid="{751918A9-79AC-4646-8575-3BB5E320E106}" name="سریال" dataDxfId="35" totalsRowDxfId="34"/>
    <tableColumn id="28" xr3:uid="{61C9F32F-92FF-4CA4-B221-5F54F6F0DB8D}" name="محل صدور" dataDxfId="33" totalsRowDxfId="32"/>
    <tableColumn id="67" xr3:uid="{B30F5478-F4D3-49B0-875E-6B253CA70951}" name="تاریخ صدور" dataDxfId="31" totalsRowDxfId="30"/>
    <tableColumn id="69" xr3:uid="{8BCDEF7E-05A6-4D2D-8A83-0C9AA5D85B5B}" name="جنسیت" dataDxfId="29" totalsRowDxfId="28"/>
    <tableColumn id="39" xr3:uid="{4D4E56B7-C345-4B67-9D66-ED7C9F8481DC}" name="موبایل" dataDxfId="27" totalsRowDxfId="26"/>
    <tableColumn id="29" xr3:uid="{78980517-ECDC-411F-A5F2-57726F8CF4A4}" name="شماره حساب" dataDxfId="25"/>
    <tableColumn id="30" xr3:uid="{AF168287-6843-4D3A-AF18-C812A80F5CDA}" name="وضعیت تاهل" dataDxfId="24" totalsRowDxfId="23"/>
    <tableColumn id="31" xr3:uid="{9AD4E792-14B5-45FD-AC1D-985B69921228}" name="تعداد فرزند" dataDxfId="22" totalsRowDxfId="21"/>
    <tableColumn id="32" xr3:uid="{9F5493F1-959B-4E5E-B309-4AA60E95C49E}" name="ساعت کار قرارداد شده" dataDxfId="20" totalsRowDxfId="19"/>
    <tableColumn id="33" xr3:uid="{133AE312-26A2-47E9-BA76-431BCE6201AD}" name="حقوق قرارداد شده" dataDxfId="18" totalsRowDxfId="17"/>
    <tableColumn id="34" xr3:uid="{41522ADA-6F90-43D2-9436-7D2D67240934}" name="گروه شغلی" dataDxfId="16" totalsRowDxfId="15"/>
    <tableColumn id="35" xr3:uid="{EE691A92-B60D-48A0-B3D8-2059A846EE83}" name="مزد روزانه " dataDxfId="14" totalsRowDxfId="13">
      <calculatedColumnFormula>_xlfn.XLOOKUP(emp_info[[#This Row],[گروه شغلی]],Table7[گروه شغلی],Table7[مزد شغل])</calculatedColumnFormula>
    </tableColumn>
    <tableColumn id="36" xr3:uid="{CC22F03F-C64A-429D-8B1B-FB36604F4206}" name="پایه سنواتی" dataDxfId="12" totalsRowDxfId="11">
      <calculatedColumnFormula>_xlfn.XLOOKUP(emp_info[[#This Row],[گروه شغلی]],Table7[گروه شغلی],Table7[پایه سنوات])</calculatedColumnFormula>
    </tableColumn>
    <tableColumn id="37" xr3:uid="{8AE06FF8-4F51-4455-A889-A11710884D21}" name="تعداد سال کارکرد" dataDxfId="10" totalsRowDxfId="9"/>
    <tableColumn id="38" xr3:uid="{0DA06C5D-DDE8-486E-A156-F24FF366C130}" name="مزد مبنا" dataDxfId="8">
      <calculatedColumnFormula>emp_info[[#This Row],[مزد روزانه ]]+(emp_info[[#This Row],[تعداد سال کارکرد]]*emp_info[[#This Row],[پایه سنواتی]])</calculatedColumnFormula>
    </tableColumn>
    <tableColumn id="40" xr3:uid="{0FE450F7-A392-4FC6-A442-79712713553A}" name="گروه" dataDxfId="7" totalsRowDxfId="6"/>
    <tableColumn id="41" xr3:uid="{492873CD-CBF1-4CFB-AE3E-20988114375F}" name="maliat" dataDxfId="5" totalsRowDxfId="4"/>
    <tableColumn id="42" xr3:uid="{3E9DC2BA-17D1-4143-9C96-6C23D8F1AEF4}" name="بیمه" dataDxfId="3" totalsRowDxfId="2"/>
    <tableColumn id="43" xr3:uid="{FB47DF95-C676-41EA-AABB-48F7F6B813CE}" name="bank" dataDxfId="1" totalsRowDxfId="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B8B0714-7BC0-4F2F-B6E5-26939684B6C6}" name="Data15272025121621" displayName="Data15272025121621" ref="A6:BF41" headerRowDxfId="361" dataDxfId="360" totalsRowDxfId="358" tableBorderDxfId="359">
  <autoFilter ref="A6:BF41" xr:uid="{FA50E6F3-16F9-412E-9B6D-D9A701E4D4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</autoFilter>
  <tableColumns count="58">
    <tableColumn id="21" xr3:uid="{17CFEAB6-0F43-4D92-85E5-2F35D2C85301}" name="گروه" dataDxfId="357" totalsRowDxfId="356">
      <calculatedColumnFormula>_xlfn.XLOOKUP(Data15272025121621[[#This Row],[کد ملی]],emp_info[کد ملی],emp_info[گروه])</calculatedColumnFormula>
    </tableColumn>
    <tableColumn id="1" xr3:uid="{3EC52926-6447-43E5-A57B-BC3BFC023BD5}" name="ردیف" totalsRowFunction="count" dataDxfId="355" totalsRowDxfId="354">
      <calculatedColumnFormula>ROWS($A$1:A1)</calculatedColumnFormula>
    </tableColumn>
    <tableColumn id="18" xr3:uid="{3276245B-830D-4C15-B96A-DDADAEC74009}" name="maliat" dataDxfId="353" totalsRowDxfId="352">
      <calculatedColumnFormula>_xlfn.XLOOKUP(Data15272025121621[[#This Row],[کد ملی]],emp_info[کد ملی],emp_info[maliat])</calculatedColumnFormula>
    </tableColumn>
    <tableColumn id="66" xr3:uid="{324F3F63-A98A-4A8F-A67F-AF7010F79713}" name="بیمه" dataDxfId="351" totalsRowDxfId="350">
      <calculatedColumnFormula>_xlfn.XLOOKUP(Data15272025121621[[#This Row],[کد ملی]],emp_info[کد ملی],emp_info[بیمه])</calculatedColumnFormula>
    </tableColumn>
    <tableColumn id="5" xr3:uid="{C8D02AD2-DB4A-4CDA-863D-D8540CE413E7}" name="bank" dataDxfId="349" totalsRowDxfId="348">
      <calculatedColumnFormula>_xlfn.XLOOKUP(Data15272025121621[[#This Row],[کد ملی]],emp_info[کد ملی],emp_info[bank])</calculatedColumnFormula>
    </tableColumn>
    <tableColumn id="3" xr3:uid="{9BD02DD8-85A0-4E40-AB6A-AFF8A46AF26F}" name="کد ملی" dataDxfId="347" totalsRowDxfId="346"/>
    <tableColumn id="4" xr3:uid="{E5497F29-BD00-461C-BFBB-D8CF4EB7CD97}" name="نام و نام خانوادگی" dataDxfId="345" totalsRowDxfId="344">
      <calculatedColumnFormula>_xlfn.XLOOKUP(Data15272025121621[[#This Row],[کد ملی]],emp_info[کد ملی],emp_info[نام])&amp;" "&amp;_xlfn.XLOOKUP(Data15272025121621[[#This Row],[کد ملی]],emp_info[کد ملی],emp_info[نام خانوادگی])</calculatedColumnFormula>
    </tableColumn>
    <tableColumn id="30" xr3:uid="{4CB47F29-484A-4E3C-B03F-640119D2B0FD}" name="وضعیت تاهل" dataDxfId="343" totalsRowDxfId="342">
      <calculatedColumnFormula>_xlfn.XLOOKUP(Data15272025121621[[#This Row],[کد ملی]],emp_info[کد ملی],emp_info[وضعیت تاهل],"یافت نشد")</calculatedColumnFormula>
    </tableColumn>
    <tableColumn id="31" xr3:uid="{0DA58694-C83D-4BA2-BED3-C6A075A6A0EA}" name="تعداد فرزند" dataDxfId="341" totalsRowDxfId="340">
      <calculatedColumnFormula>_xlfn.XLOOKUP(Data15272025121621[[#This Row],[کد ملی]],emp_info[کد ملی],emp_info[تعداد فرزند],"یافت نشد")</calculatedColumnFormula>
    </tableColumn>
    <tableColumn id="32" xr3:uid="{418D04FA-2B96-4159-B3C8-3A6A6FA35A50}" name="کارکرد قرارداد شده" dataDxfId="339" totalsRowDxfId="338">
      <calculatedColumnFormula>_xlfn.XLOOKUP(Data15272025121621[[#This Row],[کد ملی]],emp_info[کد ملی],emp_info[ساعت کار قرارداد شده],"یافت نشد")</calculatedColumnFormula>
    </tableColumn>
    <tableColumn id="33" xr3:uid="{8F2298D0-7784-48B1-8651-66AE216BFA94}" name="حقوق قرارداد شده" dataDxfId="337" totalsRowDxfId="336" dataCellStyle="Comma [0]">
      <calculatedColumnFormula>_xlfn.XLOOKUP(Data15272025121621[[#This Row],[کد ملی]],emp_info[کد ملی],emp_info[حقوق قرارداد شده],"یافت نشد")</calculatedColumnFormula>
    </tableColumn>
    <tableColumn id="36" xr3:uid="{0AD9FB12-ACC2-431A-A52C-E016FBF10D20}" name="گروه شغلی" dataDxfId="335" totalsRowDxfId="334" dataCellStyle="Comma [0]">
      <calculatedColumnFormula>_xlfn.XLOOKUP(Data15272025121621[[#This Row],[کد ملی]],emp_info[کد ملی],emp_info[گروه شغلی],"یافت نشد")</calculatedColumnFormula>
    </tableColumn>
    <tableColumn id="37" xr3:uid="{66212AD0-BC7F-4D76-9C2E-996B85545893}" name="مزد روزانه " totalsRowFunction="sum" dataDxfId="333" totalsRowDxfId="332" dataCellStyle="Comma">
      <calculatedColumnFormula>_xlfn.XLOOKUP(Data15272025121621[[#This Row],[کد ملی]],emp_info[کد ملی],emp_info[[مزد روزانه ]],"یافت نشد")</calculatedColumnFormula>
    </tableColumn>
    <tableColumn id="39" xr3:uid="{4A5B116F-D744-45A8-B543-FC4D6E12B451}" name="پایه سنواتی" totalsRowFunction="sum" dataDxfId="331" totalsRowDxfId="330" dataCellStyle="Comma">
      <calculatedColumnFormula>_xlfn.XLOOKUP(Data15272025121621[[#This Row],[کد ملی]],emp_info[کد ملی],emp_info[پایه سنواتی],"یافت نشد")</calculatedColumnFormula>
    </tableColumn>
    <tableColumn id="68" xr3:uid="{7FA7E753-C778-4DE4-858F-C832C7C6857F}" name="تعداد سال کارکرد" totalsRowFunction="sum" dataDxfId="329" totalsRowDxfId="328">
      <calculatedColumnFormula>_xlfn.XLOOKUP(Data15272025121621[[#This Row],[کد ملی]],emp_info[کد ملی],emp_info[تعداد سال کارکرد],"یافت نشد")</calculatedColumnFormula>
    </tableColumn>
    <tableColumn id="17" xr3:uid="{71654D8C-AE9A-43BC-A701-FD7BCCE34CF9}" name="مزد مبنا" dataDxfId="327" totalsRowDxfId="326">
      <calculatedColumnFormula>_xlfn.XLOOKUP(Data15272025121621[[#This Row],[کد ملی]],emp_info[کد ملی],emp_info[مزد مبنا],"یافت نشد")</calculatedColumnFormula>
    </tableColumn>
    <tableColumn id="34" xr3:uid="{B2AB6616-395A-4A15-9851-F324F39701B9}" name="ساعت کارکرد" totalsRowFunction="sum" dataDxfId="325"/>
    <tableColumn id="38" xr3:uid="{7CB63133-C39F-42E6-A252-1351415FA6D2}" name="روز بیمه" totalsRowFunction="sum" dataDxfId="324" totalsRowDxfId="323" dataCellStyle="Comma [0]"/>
    <tableColumn id="35" xr3:uid="{57F5C8C1-6EAB-433C-B190-5A4D3B0D8CBF}" name="ساعت اضافه کار" totalsRowFunction="sum" dataDxfId="322" totalsRowDxfId="321">
      <calculatedColumnFormula>TRUNC(Data15272025121621[[#This Row],[ساعت کارکرد]]*0.3)</calculatedColumnFormula>
    </tableColumn>
    <tableColumn id="6" xr3:uid="{6B977E66-638B-4B13-9684-482471F7B442}" name=" روز جمعه کاری" dataDxfId="320" totalsRowDxfId="319">
      <calculatedColumnFormula>ROUND(Data15272025121621[[#This Row],[ساعت کارکرد]]/70,0)</calculatedColumnFormula>
    </tableColumn>
    <tableColumn id="7" xr3:uid="{69DAA60D-9024-47AE-ABCA-7EED43E539E6}" name="ماموریت" dataDxfId="318" totalsRowDxfId="317">
      <calculatedColumnFormula>TRUNC(Data15272025121621[[#This Row],[حق ماموریت]]/Data15272025121621[[#This Row],[مزد مبنا]])</calculatedColumnFormula>
    </tableColumn>
    <tableColumn id="10" xr3:uid="{790C3AA9-0AC0-4E60-8E30-FB3DC9C080CD}" name="مالیات" dataDxfId="316" totalsRowDxfId="315"/>
    <tableColumn id="62" xr3:uid="{0DC6E25E-7C86-4AC4-A1D6-BBBD580C599C}" name="کسر مساعده" totalsRowFunction="sum" dataDxfId="314" totalsRowDxfId="313" dataCellStyle="Comma [0]"/>
    <tableColumn id="44" xr3:uid="{AF04EBDC-C8FD-4D19-8D7D-A8C6145B28DD}" name="سایر مزایا" totalsRowFunction="sum" dataDxfId="312" totalsRowDxfId="311" dataCellStyle="Comma">
      <calculatedColumnFormula>Data15272025121621[[#This Row],[ساعت کارکرد]]-Data15272025121621[[#This Row],[کسر مساعده]]</calculatedColumnFormula>
    </tableColumn>
    <tableColumn id="2" xr3:uid="{9A0FB89E-7628-4BDD-BDAB-7B8ECF3EBC17}" name="جمعه کاری" dataDxfId="310" totalsRowDxfId="309" dataCellStyle="Comma">
      <calculatedColumnFormula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calculatedColumnFormula>
    </tableColumn>
    <tableColumn id="43" xr3:uid="{8AC48B6B-E199-4156-B613-42E32788F50E}" name="اضافه کار" totalsRowFunction="sum" dataDxfId="308" dataCellStyle="Comma [0]"/>
    <tableColumn id="49" xr3:uid="{6D4E2B2B-7C19-4A73-A293-9E4C54F4494F}" name="هزینه سفر" totalsRowFunction="sum" dataDxfId="307" totalsRowDxfId="306" dataCellStyle="Comma [0]">
      <calculatedColumnFormula array="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calculatedColumnFormula>
    </tableColumn>
    <tableColumn id="50" xr3:uid="{761C3F61-850F-4562-B824-D129EDB9165B}" name="حق ماموریت" totalsRowFunction="sum" dataDxfId="305" totalsRowDxfId="304" dataCellStyle="Comma [0]">
      <calculatedColumnFormula array="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calculatedColumnFormula>
    </tableColumn>
    <tableColumn id="47" xr3:uid="{A6FAAF62-7773-47CB-A382-68A6F69F0241}" name="عیدی و پادش" totalsRowFunction="sum" dataDxfId="303" totalsRowDxfId="302" dataCellStyle="Comma [0]">
      <calculatedColumnFormula array="1">ROUND(5*Data15272025121621[[#This Row],[مزد مبنا]]*(Data15272025121621[[#This Row],[روز بیمه]]/list_info302332152027[تعداد روز ماه]),0)</calculatedColumnFormula>
    </tableColumn>
    <tableColumn id="48" xr3:uid="{4DDC223B-C839-44AC-8FAF-F4E76FF49A8F}" name="مرخصی" totalsRowFunction="sum" dataDxfId="301" totalsRowDxfId="300" dataCellStyle="Comma [0]">
      <calculatedColumnFormula>ROUND(2.5*(Data15272025121621[[#This Row],[پایه سنواتی]]+Data15272025121621[[#This Row],[مزد روزانه ]])*0,0)</calculatedColumnFormula>
    </tableColumn>
    <tableColumn id="40" xr3:uid="{DAEF6504-7498-4448-951B-298553FBF16C}" name="بن خانوار" totalsRowFunction="sum" dataDxfId="299" totalsRowDxfId="298" dataCellStyle="Comma">
      <calculatedColumnFormula array="1">ROUND(22000000*Data15272025121621[[#This Row],[روز بیمه]]/list_info302332152027[تعداد روز ماه],0)</calculatedColumnFormula>
    </tableColumn>
    <tableColumn id="41" xr3:uid="{1B76DBAC-6EDC-4518-AFFE-5227B58E7E40}" name="حق مسکن" totalsRowFunction="sum" dataDxfId="297" totalsRowDxfId="296" dataCellStyle="Comma">
      <calculatedColumnFormula array="1">ROUND(list_info302332152027[حق مسکن]*Data15272025121621[[#This Row],[روز بیمه]]/list_info302332152027[تعداد روز ماه],0)</calculatedColumnFormula>
    </tableColumn>
    <tableColumn id="42" xr3:uid="{22C0C585-8C16-49B4-8BCA-422B1645CD2B}" name="حق تاهل" totalsRowFunction="sum" dataDxfId="295" totalsRowDxfId="294">
      <calculatedColumnFormula array="1">ROUND(IF(Data15272025121621[[#This Row],[وضعیت تاهل]]="متاهل",list_info302332152027[حق تاهل],0)*Data15272025121621[[#This Row],[روز بیمه]]/list_info302332152027[تعداد روز ماه],0)</calculatedColumnFormula>
    </tableColumn>
    <tableColumn id="15" xr3:uid="{07EED743-F368-4DC6-943C-BE0E1661A4D1}" name=" فوق العاده ایاب و ذهاب  و کمک رفاهی " dataDxfId="293" totalsRowDxfId="292">
      <calculatedColumnFormula array="1">list_info302332152027[ثابت فوق العاده ایاب و ذهاب]*Data15272025121621[[#This Row],[روز بیمه]]*list_info302332152027[[درصد فوق العاده ایاب و ذهاب  و کمک رفاهی ماهیانه  ]]</calculatedColumnFormula>
    </tableColumn>
    <tableColumn id="14" xr3:uid="{9EE41382-48AB-495F-A901-850618BAD699}" name="فوق العاده جذب بازار کار" dataDxfId="291" totalsRowDxfId="290">
      <calculatedColumnFormula array="1">list_info302332152027[[درصد فوق العاده جذب تخصصی ماهیانه ]]*Data15272025121621[[#This Row],[مزد روزانه ]]*Data15272025121621[[#This Row],[روز بیمه]]</calculatedColumnFormula>
    </tableColumn>
    <tableColumn id="13" xr3:uid="{9EC7FA84-F51A-46BD-B10B-273AA826D0A6}" name="فوق العاده بدی آب و هوا" dataDxfId="289" totalsRowDxfId="288">
      <calculatedColumnFormula array="1">list_info302332152027[درصد فوق العاده بدی آب و هوا]*Data15272025121621[[#This Row],[مزد روزانه ]]*Data15272025121621[[#This Row],[روز بیمه]]</calculatedColumnFormula>
    </tableColumn>
    <tableColumn id="12" xr3:uid="{681A8A87-5FCB-445E-AF90-AE020A3E9A49}" name=" فوق العاده جذب تخصصی دوری از خانواده " dataDxfId="287" totalsRowDxfId="286">
      <calculatedColumnFormula array="1">list_info302332152027[[فوق العاده جذب تخصصی دوری از خانواده ]]*Data15272025121621[[#This Row],[مزد روزانه ]]*Data15272025121621[[#This Row],[روز بیمه]]</calculatedColumnFormula>
    </tableColumn>
    <tableColumn id="16" xr3:uid="{8BAF8EA9-924D-491C-A076-239562CD0C81}" name=" فوق العاده مناطق پارسیان و عسلویه" dataDxfId="285" totalsRowDxfId="284">
      <calculatedColumnFormula array="1">list_info302332152027[فوق العاده پارس جنوبی]*Data15272025121621[[#This Row],[مزد روزانه ]]*Data15272025121621[[#This Row],[روز بیمه]]</calculatedColumnFormula>
    </tableColumn>
    <tableColumn id="45" xr3:uid="{DA47EAE5-9EA8-4DE7-B424-270B5B754771}" name="حق اولاد" totalsRowFunction="sum" dataDxfId="283" totalsRowDxfId="282" dataCellStyle="Comma [0]">
      <calculatedColumnFormula array="1">ROUND((Data15272025121621[[#This Row],[روز بیمه]]/list_info302332152027[تعداد روز ماه])*Data15272025121621[[#This Row],[تعداد فرزند]]*list_info302332152027[حق اولاد],0)</calculatedColumnFormula>
    </tableColumn>
    <tableColumn id="46" xr3:uid="{8FF6D1AA-0A7B-4810-B9EC-1939B4C32250}" name="حق سنوات" totalsRowFunction="sum" dataDxfId="281" dataCellStyle="Comma [0]">
      <calculatedColumnFormula array="1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calculatedColumnFormula>
    </tableColumn>
    <tableColumn id="51" xr3:uid="{78F7B3AF-993C-4EBC-BBD0-FDB97B4D5FBA}" name=" مزایا مشمول" totalsRowFunction="sum" dataDxfId="280" totalsRowDxfId="279" dataCellStyle="Comma">
      <calculatedColumnFormula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calculatedColumnFormula>
    </tableColumn>
    <tableColumn id="52" xr3:uid="{80F202B9-2BFA-4FF8-8F8F-D5AC7D0B2B2D}" name="جمع مزایا مشمول غیر مستمر" totalsRowFunction="sum" dataDxfId="278" totalsRowDxfId="277" dataCellStyle="Comma">
      <calculatedColumnFormula>ROUND(Data15272025121621[[#This Row],[سایر مزایا]]+Data15272025121621[[#This Row],[اضافه کار]]+Data15272025121621[[#This Row],[جمعه کاری]],0)</calculatedColumnFormula>
    </tableColumn>
    <tableColumn id="53" xr3:uid="{2842C268-2EFC-43A3-B61B-4FB25E0A0591}" name="مزایا مستمر مشمول مالیات" totalsRowFunction="sum" dataDxfId="276" totalsRowDxfId="275" dataCellStyle="Comma">
      <calculatedColumnFormula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calculatedColumnFormula>
    </tableColumn>
    <tableColumn id="54" xr3:uid="{15B4BCD4-879D-4B11-A7BD-153EEB38D004}" name="جمع مزایا غیر مشمول" totalsRowFunction="sum" dataDxfId="274" totalsRowDxfId="273" dataCellStyle="Comma [0]">
      <calculatedColumnFormula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calculatedColumnFormula>
    </tableColumn>
    <tableColumn id="64" xr3:uid="{9CB3D81A-FA77-4E14-B32E-C357F00CC556}" name="جمع پایه سنواتی" totalsRowFunction="sum" dataDxfId="272" totalsRowDxfId="271" dataCellStyle="Comma [0]">
      <calculatedColumnFormula>Data15272025121621[[#This Row],[روز بیمه]]*Data15272025121621[[#This Row],[پایه سنواتی]]*Data15272025121621[[#This Row],[تعداد سال کارکرد]]</calculatedColumnFormula>
    </tableColumn>
    <tableColumn id="55" xr3:uid="{BC3B1D05-140E-4AFF-B06D-E4C225493429}" name="بیمه سهم کارگر" totalsRowFunction="sum" dataDxfId="270" totalsRowDxfId="269" dataCellStyle="Comma [0]">
      <calculatedColumnFormula>ROUND(Data15272025121621[[#This Row],[جمع حقوق و مزایا مشمول بیمه]]*0.07,0)</calculatedColumnFormula>
    </tableColumn>
    <tableColumn id="56" xr3:uid="{064CFCAC-3964-42B1-8BCE-57C5400B1DCF}" name="بیمه سهم کارفرما" totalsRowFunction="sum" dataDxfId="268" totalsRowDxfId="267" dataCellStyle="Comma [0]">
      <calculatedColumnFormula>ROUND(Data15272025121621[[#This Row],[جمع حقوق و مزایا مشمول بیمه]]*0.2,0)</calculatedColumnFormula>
    </tableColumn>
    <tableColumn id="57" xr3:uid="{36E05ECB-0506-48D9-968A-8540E887FC28}" name="بیمه بیکاری" totalsRowFunction="sum" dataDxfId="266" totalsRowDxfId="265" dataCellStyle="Comma [0]">
      <calculatedColumnFormula>ROUND(Data15272025121621[[#This Row],[جمع حقوق و مزایا مشمول بیمه]]*0.03,0)</calculatedColumnFormula>
    </tableColumn>
    <tableColumn id="58" xr3:uid="{E4AE5444-C6AF-434E-87B9-4E54BA3549AF}" name="جمع بیمه" totalsRowFunction="sum" dataDxfId="264" totalsRowDxfId="263" dataCellStyle="Comma [0]">
      <calculatedColumnFormula>Data15272025121621[[#This Row],[بیمه بیکاری]]+Data15272025121621[[#This Row],[بیمه سهم کارفرما]]+Data15272025121621[[#This Row],[بیمه سهم کارگر]]</calculatedColumnFormula>
    </tableColumn>
    <tableColumn id="59" xr3:uid="{889D2821-58E2-48C6-A18F-85A4359A6334}" name="حقوق پایه" totalsRowFunction="sum" dataDxfId="262" totalsRowDxfId="261" dataCellStyle="Comma">
      <calculatedColumnFormula>Data15272025121621[[#This Row],[روز بیمه]]*Data15272025121621[[#This Row],[مزد مبنا]]</calculatedColumnFormula>
    </tableColumn>
    <tableColumn id="60" xr3:uid="{D2DDEB4A-1BA4-4817-9DB4-43AC92D7942D}" name="حقوق و مزایای مستمر مالیات" totalsRowFunction="sum" dataDxfId="260" totalsRowDxfId="259" dataCellStyle="Comma">
      <calculatedColumnFormula>Data15272025121621[[#This Row],[حقوق پایه]]+Data15272025121621[[#This Row],[مزایا مستمر مشمول مالیات]]</calculatedColumnFormula>
    </tableColumn>
    <tableColumn id="61" xr3:uid="{7D27EC70-D6CF-4CB6-B925-033EB8DAAB49}" name="جمع حقوق و مزایا مشمول بیمه" totalsRowFunction="sum" dataDxfId="258" totalsRowDxfId="257">
      <calculatedColumnFormula>(Data15272025121621[[#This Row],[حقوق پایه]]+Data15272025121621[[#This Row],[ مزایا مشمول]])*Data15272025121621[[#This Row],[بیمه]]</calculatedColumnFormula>
    </tableColumn>
    <tableColumn id="63" xr3:uid="{A948774F-4BD2-4ED8-8873-E287E701C95C}" name="حقوق ناخالص" totalsRowFunction="sum" dataDxfId="256" totalsRowDxfId="255" dataCellStyle="Comma [0]">
      <calculatedColumnFormula>ROUND(((Data15272025121621[[#This Row],[ساعت کارکرد]]/Data15272025121621[[#This Row],[کارکرد قرارداد شده]])*Data15272025121621[[#This Row],[حقوق قرارداد شده]]),0)</calculatedColumnFormula>
    </tableColumn>
    <tableColumn id="20" xr3:uid="{C408E9F6-08F4-46C6-8E2C-476A81871BB1}" name="کسورات" dataDxfId="254" totalsRowDxfId="253" dataCellStyle="Comma [0]">
      <calculatedColumnFormula>Data15272025121621[[#This Row],[بیمه سهم کارگر]]</calculatedColumnFormula>
    </tableColumn>
    <tableColumn id="9" xr3:uid="{BA0BB960-69FB-4CEA-924F-B6132AB5E1CA}" name="حقوق خالص" dataDxfId="252" totalsRowDxfId="251" dataCellStyle="Comma [0]">
      <calculatedColumnFormula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calculatedColumnFormula>
    </tableColumn>
    <tableColumn id="19" xr3:uid="{A73118E2-8332-48DB-AF2D-C003E3CF307E}" name="شماره حساب" dataDxfId="250" totalsRowDxfId="249">
      <calculatedColumnFormula>_xlfn.XLOOKUP(Data15272025121621[[#This Row],[کد ملی]],emp_info[کد ملی],emp_info[شماره حساب])</calculatedColumnFormula>
    </tableColumn>
    <tableColumn id="11" xr3:uid="{BAFA51E1-9C68-4644-8744-A8F8E49C4A8E}" name="قابل پرداخت" dataDxfId="248">
      <calculatedColumnFormula>TRUNC(Data15272025121621[[#This Row],[حقوق خالص]]-Data15272025121621[[#This Row],[کسر مساعده]])</calculatedColumnFormula>
    </tableColumn>
    <tableColumn id="8" xr3:uid="{E3D93AA5-FB30-4B5E-880F-C0C8F374848D}" name="چک مالیات" totalsRowFunction="custom" dataDxfId="247" totalsRowDxfId="246" dataCellStyle="Comma [0]">
      <calculatedColumnFormula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calculatedColumnFormula>
      <totalsRowFormula>SUBTOTAL(109,Data15272025121621[حقوق ناخالص])</totalsRow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3D5CED5-20D2-4ED2-8467-D316EAFC0D2F}" name="DSKWOR16282126131722" displayName="DSKWOR16282126131722" ref="BL6:CO41" headerRowDxfId="245" dataDxfId="244" totalsRowDxfId="242" tableBorderDxfId="243">
  <autoFilter ref="BL6:CO41" xr:uid="{2CD2C30B-51BB-46BD-8D10-128E894670E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FAA99295-1ADD-4E7B-93E3-498761DC8693}" name="BEMEH" totalsRowFunction="sum" dataDxfId="241" totalsRowDxfId="240">
      <calculatedColumnFormula>Data15272025121621[[#This Row],[بیمه]]</calculatedColumnFormula>
    </tableColumn>
    <tableColumn id="2" xr3:uid="{7404D666-4148-43B6-98CA-9AE07A3944CF}" name="DSW_ID" dataDxfId="239" totalsRowDxfId="238">
      <calculatedColumnFormula array="1">DSKKAR1817292231141823[DSK_ID]</calculatedColumnFormula>
    </tableColumn>
    <tableColumn id="3" xr3:uid="{09F1C40B-5E2D-4074-84AE-764BA2BFCEE7}" name="DSW_YY" dataDxfId="237" totalsRowDxfId="236">
      <calculatedColumnFormula array="1">DSKKAR1817292231141823[DSK_YY]</calculatedColumnFormula>
    </tableColumn>
    <tableColumn id="4" xr3:uid="{431707A6-8657-4327-9B29-0880E9126B83}" name="DSW_MM" dataDxfId="235" totalsRowDxfId="234">
      <calculatedColumnFormula array="1">DSKKAR1817292231141823[DSK_MM]</calculatedColumnFormula>
    </tableColumn>
    <tableColumn id="5" xr3:uid="{5C074B67-4CAE-429F-81A9-89350715A1AF}" name="DSW_LISTNO" dataDxfId="233" totalsRowDxfId="232">
      <calculatedColumnFormula array="1">DSKKAR1817292231141823[DSK_LISTNO]</calculatedColumnFormula>
    </tableColumn>
    <tableColumn id="6" xr3:uid="{D7D61CFD-1BC2-442D-ACB9-07492A637894}" name="DSW_ID1" dataDxfId="231" totalsRowDxfId="230">
      <calculatedColumnFormula>_xlfn.XLOOKUP(Data15272025121621[[#This Row],[کد ملی]],emp_info[کد ملی],emp_info[شماره بیمه],"یافت نشد")</calculatedColumnFormula>
    </tableColumn>
    <tableColumn id="7" xr3:uid="{53D817C7-6F8A-4375-926F-FE860EE5B47F}" name="DSW_FNAME" dataDxfId="229" totalsRowDxfId="228">
      <calculatedColumnFormula>_xlfn.XLOOKUP(Data15272025121621[[#This Row],[کد ملی]],emp_info[کد ملی],emp_info[نام],"یافت نشد")</calculatedColumnFormula>
    </tableColumn>
    <tableColumn id="8" xr3:uid="{7B7B116D-EEF6-4ED8-B3B8-774FB836B3AE}" name="DSW_LNAME" dataDxfId="227" totalsRowDxfId="226">
      <calculatedColumnFormula>_xlfn.XLOOKUP(Data15272025121621[[#This Row],[کد ملی]],emp_info[کد ملی],emp_info[نام خانوادگی],"یافت نشد")</calculatedColumnFormula>
    </tableColumn>
    <tableColumn id="9" xr3:uid="{B166B0D8-03D2-4CA9-83E9-7038CAACBDC4}" name="DSW_DNAME" dataDxfId="225" totalsRowDxfId="224">
      <calculatedColumnFormula>_xlfn.XLOOKUP(Data15272025121621[[#This Row],[کد ملی]],emp_info[کد ملی],emp_info[نام  پدر],"یافت نشد")</calculatedColumnFormula>
    </tableColumn>
    <tableColumn id="10" xr3:uid="{660E0B8E-40E6-460E-9861-CA3F7573AD00}" name="DSW_IDNO" dataDxfId="223" totalsRowDxfId="222">
      <calculatedColumnFormula>_xlfn.XLOOKUP(Data15272025121621[[#This Row],[کد ملی]],emp_info[کد ملی],emp_info[شماره شناسنامه],"یافت نشد")</calculatedColumnFormula>
    </tableColumn>
    <tableColumn id="11" xr3:uid="{07FAEC88-43C9-4C2E-9373-6933CA6FE73B}" name="DSW_IDPLC" dataDxfId="221" totalsRowDxfId="220">
      <calculatedColumnFormula>_xlfn.XLOOKUP(Data15272025121621[[#This Row],[کد ملی]],emp_info[کد ملی],emp_info[محل صدور],"یافت نشد")</calculatedColumnFormula>
    </tableColumn>
    <tableColumn id="12" xr3:uid="{E804FBC1-B85B-4F43-B361-82DED5BE50F5}" name="DSW_IDATE" dataDxfId="219" totalsRowDxfId="218">
      <calculatedColumnFormula>_xlfn.XLOOKUP(Data15272025121621[[#This Row],[کد ملی]],emp_info[کد ملی],emp_info[تاریخ صدور],"یافت نشد")</calculatedColumnFormula>
    </tableColumn>
    <tableColumn id="13" xr3:uid="{A94DFCAC-22E6-40AD-923A-AB0CF373796F}" name="DSW_BDATE" dataDxfId="217" totalsRowDxfId="216">
      <calculatedColumnFormula>_xlfn.XLOOKUP(Data15272025121621[[#This Row],[کد ملی]],emp_info[کد ملی],emp_info[تاریخ تولد],"یافت نشد")</calculatedColumnFormula>
    </tableColumn>
    <tableColumn id="14" xr3:uid="{C4CACD11-C112-4180-86CD-6E27396276CE}" name="DSW_SEX" dataDxfId="215" totalsRowDxfId="214">
      <calculatedColumnFormula>_xlfn.XLOOKUP(Data15272025121621[[#This Row],[کد ملی]],emp_info[کد ملی],emp_info[جنسیت],"یافت نشد")</calculatedColumnFormula>
    </tableColumn>
    <tableColumn id="15" xr3:uid="{5759E275-5DF2-4E12-95AB-3907A022D50F}" name="DSW_NAT" dataDxfId="213" totalsRowDxfId="212"/>
    <tableColumn id="16" xr3:uid="{6C9778EE-C1AF-4EE2-845C-64EBC45CC963}" name="DSW_OCP" dataDxfId="211" totalsRowDxfId="210">
      <calculatedColumnFormula>_xlfn.XLOOKUP(Data15272025121621[[#This Row],[کد ملی]],emp_info[کد ملی],emp_info[سمت شغل],"یافت نشد")</calculatedColumnFormula>
    </tableColumn>
    <tableColumn id="17" xr3:uid="{34FAD2EF-67B1-48FF-8EE1-89001084B796}" name="DSW_SDATE" dataDxfId="209" totalsRowDxfId="208">
      <calculatedColumnFormula>_xlfn.XLOOKUP(Data15272025121621[[#This Row],[کد ملی]],emp_info[کد ملی],emp_info[تاریخ شروع به کار],"یافت نشد")</calculatedColumnFormula>
    </tableColumn>
    <tableColumn id="18" xr3:uid="{D5EDA2E2-7CC8-407E-9E47-06BD895899AF}" name="DSW_EDATE" dataDxfId="207" totalsRowDxfId="206">
      <calculatedColumnFormula>_xlfn.XLOOKUP(Data15272025121621[[#This Row],[کد ملی]],emp_info[کد ملی],emp_info[ [ تاریخ پایان کار] ],"یافت نشد")</calculatedColumnFormula>
    </tableColumn>
    <tableColumn id="19" xr3:uid="{C7023C7B-28DA-4767-98F8-1EB640775EB0}" name="DSW_DD" totalsRowFunction="custom" dataDxfId="205" totalsRowDxfId="204">
      <calculatedColumnFormula>Data15272025121621[[#This Row],[روز بیمه]]</calculatedColumnFormula>
      <totalsRowFormula>SUMIF(DSKWOR16282126131722[BEMEH],1,DSKWOR16282126131722[DSW_DD])</totalsRowFormula>
    </tableColumn>
    <tableColumn id="20" xr3:uid="{9ECE6651-83DA-4552-95D6-CD193497A1F8}" name="DSW_ROOZ" totalsRowFunction="custom" dataDxfId="203" totalsRowDxfId="202">
      <calculatedColumnFormula>Data15272025121621[[#This Row],[مزد روزانه ]]</calculatedColumnFormula>
      <totalsRowFormula>SUMIF(DSKWOR16282126131722[BEMEH],1,DSKWOR16282126131722[DSW_ROOZ])</totalsRowFormula>
    </tableColumn>
    <tableColumn id="21" xr3:uid="{611802A3-0B7C-4183-9008-716054E91E9D}" name="DSW_MAH" totalsRowFunction="custom" dataDxfId="201" totalsRowDxfId="200">
      <calculatedColumnFormula>Data15272025121621[[#This Row],[حقوق پایه]]</calculatedColumnFormula>
      <totalsRowFormula>SUMIF(DSKWOR16282126131722[BEMEH],1,DSKWOR16282126131722[DSW_MAH])</totalsRowFormula>
    </tableColumn>
    <tableColumn id="22" xr3:uid="{18066953-78E9-4167-AE7E-FB4F684A7590}" name="DSW_MAZ" totalsRowFunction="custom" dataDxfId="199" totalsRowDxfId="198">
      <calculatedColumnFormula>Data15272025121621[[#This Row],[ مزایا مشمول]]</calculatedColumnFormula>
      <totalsRowFormula>SUMIF(DSKWOR16282126131722[BEMEH],1,DSKWOR16282126131722[DSW_MAZ])</totalsRowFormula>
    </tableColumn>
    <tableColumn id="23" xr3:uid="{8026A21C-EDCC-43AE-9674-A1FD1E345AF4}" name="DSW_MASH" totalsRowFunction="custom" dataDxfId="197" totalsRowDxfId="196">
      <calculatedColumnFormula>Data15272025121621[[#This Row],[جمع حقوق و مزایا مشمول بیمه]]</calculatedColumnFormula>
      <totalsRowFormula>SUMIF(DSKWOR16282126131722[BEMEH],1,DSKWOR16282126131722[DSW_MASH])</totalsRowFormula>
    </tableColumn>
    <tableColumn id="24" xr3:uid="{B90A379A-BCD3-488D-84F1-54D5A002D0F7}" name="DSW_TOTL" totalsRowFunction="custom" dataDxfId="195" totalsRowDxfId="194">
      <calculatedColumnFormula>Data15272025121621[[#This Row],[حقوق ناخالص]]</calculatedColumnFormula>
      <totalsRowFormula>SUMIF(DSKWOR16282126131722[BEMEH],1,DSKWOR16282126131722[DSW_TOTL])</totalsRowFormula>
    </tableColumn>
    <tableColumn id="25" xr3:uid="{9553BADA-0C53-4CFB-B5FF-96AC1B6F5BF7}" name="DSW_BIME" totalsRowFunction="custom" dataDxfId="193" totalsRowDxfId="192">
      <calculatedColumnFormula>Data15272025121621[[#This Row],[بیمه سهم کارگر]]</calculatedColumnFormula>
      <totalsRowFormula>SUMIF(DSKWOR16282126131722[BEMEH],1,DSKWOR16282126131722[DSW_BIME])</totalsRowFormula>
    </tableColumn>
    <tableColumn id="26" xr3:uid="{A1411618-86DE-4DC5-981D-90AB42AFB16D}" name="DSW_PRATE" totalsRowFunction="custom" dataDxfId="191" totalsRowDxfId="190">
      <totalsRowFormula>SUMIF(DSKWOR16282126131722[BEMEH],1,DSKWOR16282126131722[DSW_PRATE])</totalsRowFormula>
    </tableColumn>
    <tableColumn id="27" xr3:uid="{4907DBC6-08B9-4229-9EF2-4A8A205EBF92}" name="DSW_JOB" totalsRowFunction="custom" dataDxfId="189" totalsRowDxfId="188">
      <calculatedColumnFormula>TEXT(_xlfn.XLOOKUP(Data15272025121621[[#This Row],[کد ملی]],emp_info[کد ملی],emp_info[کد شغل],"یافت نشد"),"000000")</calculatedColumnFormula>
      <totalsRowFormula>SUMIF(DSKWOR16282126131722[BEMEH],1,DSKWOR16282126131722[DSW_JOB])</totalsRowFormula>
    </tableColumn>
    <tableColumn id="28" xr3:uid="{8D79FB6A-A6D8-4CC3-A953-C723A7371BE8}" name="PER_NATCOD" totalsRowFunction="custom" dataDxfId="187" totalsRowDxfId="186">
      <calculatedColumnFormula>Data15272025121621[[#This Row],[کد ملی]]</calculatedColumnFormula>
      <totalsRowFormula>SUMIF(DSKWOR16282126131722[BEMEH],1,DSKWOR16282126131722[PER_NATCOD])</totalsRowFormula>
    </tableColumn>
    <tableColumn id="29" xr3:uid="{D13A1CEC-B517-4B8E-9462-23B420D9A5E4}" name="DSW_INC" totalsRowFunction="custom" dataDxfId="185" totalsRowDxfId="184">
      <calculatedColumnFormula>Data15272025121621[[#This Row],[پایه سنواتی]]*Data15272025121621[[#This Row],[تعداد سال کارکرد]]</calculatedColumnFormula>
      <totalsRowFormula>SUMIF(DSKWOR16282126131722[BEMEH],1,DSKWOR16282126131722[DSW_INC])</totalsRowFormula>
    </tableColumn>
    <tableColumn id="30" xr3:uid="{2A7C6FF0-3999-4A52-9173-C52205143A30}" name="DSW_SPOUSE" totalsRowFunction="custom" dataDxfId="183" totalsRowDxfId="182">
      <calculatedColumnFormula>Data15272025121621[[#This Row],[حق تاهل]]</calculatedColumnFormula>
      <totalsRowFormula>SUMIF(DSKWOR16282126131722[BEMEH],1,DSKWOR16282126131722[DSW_SPOUSE])</totalsRow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234D6DC-D9CE-4430-B13D-FBAA1599C964}" name="DSKKAR1817292231141823" displayName="DSKKAR1817292231141823" ref="BL2:CJ3" totalsRowShown="0" headerRowDxfId="181" dataDxfId="180" headerRowCellStyle="Neutral" dataCellStyle="Neutral">
  <autoFilter ref="BL2:CJ3" xr:uid="{C4F27508-E45F-4AE5-BA78-9BF43C53D5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1" xr3:uid="{6353CD45-A5F0-4A32-94F5-0A4A1B16572D}" name="DSK_ID" dataDxfId="179" dataCellStyle="Neutral">
      <calculatedColumnFormula>list_info302332152027[[#This Row],[کد کارگاه ]]</calculatedColumnFormula>
    </tableColumn>
    <tableColumn id="2" xr3:uid="{D90CE5B2-8E30-4532-BCAD-6A434DD0F289}" name="DSK_NAME" dataDxfId="178" dataCellStyle="Neutral">
      <calculatedColumnFormula>list_info302332152027[[#This Row],[نام کارگاه]]</calculatedColumnFormula>
    </tableColumn>
    <tableColumn id="3" xr3:uid="{691DF569-365A-407A-B54C-2A0AED23EE33}" name="DSK_FARM" dataDxfId="177" dataCellStyle="Neutral">
      <calculatedColumnFormula>list_info302332152027[[#This Row],[نام کارفرما]]</calculatedColumnFormula>
    </tableColumn>
    <tableColumn id="4" xr3:uid="{C23463F6-37B8-40B9-951C-054E2D0D917A}" name="DSK_ADRS" dataDxfId="176" dataCellStyle="Neutral">
      <calculatedColumnFormula>list_info302332152027[[#This Row],[آدرس کارگاه]]</calculatedColumnFormula>
    </tableColumn>
    <tableColumn id="5" xr3:uid="{D1235BAC-B190-49B0-87FD-E5C0AAA59EBD}" name="DSK_KIND" dataDxfId="175" dataCellStyle="Neutral">
      <calculatedColumnFormula>list_info302332152027[[#This Row],[نوع لیست]]</calculatedColumnFormula>
    </tableColumn>
    <tableColumn id="6" xr3:uid="{344F4D91-46DF-42D2-A8A7-5D02553FCAC3}" name="DSK_YY" dataDxfId="174" dataCellStyle="Neutral">
      <calculatedColumnFormula>list_info302332152027[[#This Row],[DSK_YY]]</calculatedColumnFormula>
    </tableColumn>
    <tableColumn id="7" xr3:uid="{7E94B3F7-D815-4128-89F6-EBA253F3A16D}" name="DSK_MM" dataDxfId="173" dataCellStyle="Neutral">
      <calculatedColumnFormula>list_info302332152027[[#This Row],[DSK_MM]]</calculatedColumnFormula>
    </tableColumn>
    <tableColumn id="8" xr3:uid="{AAA19A32-AB9C-49AC-950B-2630CBA44C67}" name="DSK_LISTNO" dataDxfId="172" dataCellStyle="Neutral">
      <calculatedColumnFormula>list_info302332152027[[#This Row],[شماره لیست]]</calculatedColumnFormula>
    </tableColumn>
    <tableColumn id="9" xr3:uid="{BFA5DAD2-5754-412B-BA57-9EE59D55B893}" name="DSK_DISC" dataDxfId="171" dataCellStyle="Neutral">
      <calculatedColumnFormula>list_info302332152027[[#This Row],[شرح لیست]]</calculatedColumnFormula>
    </tableColumn>
    <tableColumn id="10" xr3:uid="{857BE9CD-BB90-49ED-B25C-97091F4F3270}" name="DSK_NUM" dataDxfId="170" dataCellStyle="Neutral">
      <calculatedColumnFormula>COUNTIF(Data15272025121621[بیمه],1)</calculatedColumnFormula>
    </tableColumn>
    <tableColumn id="11" xr3:uid="{CE47E82E-4EBA-4BD5-A214-1240491704BA}" name="DSK_TDD" dataDxfId="169" dataCellStyle="Neutral">
      <calculatedColumnFormula>SUMIF(Data15272025121621[بیمه],1,Data15272025121621[روز بیمه])</calculatedColumnFormula>
    </tableColumn>
    <tableColumn id="12" xr3:uid="{53EAB350-C186-4D9F-A1BA-B205C996CBBD}" name="DSK_TROOZ" dataDxfId="168" dataCellStyle="Neutral">
      <calculatedColumnFormula>SUMIF(Data15272025121621[بیمه],1,Data15272025121621[[مزد روزانه ]])</calculatedColumnFormula>
    </tableColumn>
    <tableColumn id="13" xr3:uid="{77B67B03-2F98-4FE4-8AAB-8240458BD329}" name="DSK_TMAH" dataDxfId="167" dataCellStyle="Neutral">
      <calculatedColumnFormula>SUMIF(Data15272025121621[بیمه],1,Data15272025121621[حقوق پایه])</calculatedColumnFormula>
    </tableColumn>
    <tableColumn id="14" xr3:uid="{1BCD14F2-DE5D-4738-8A3E-C67B8BB6B3DE}" name="DSK_TMAZ" dataDxfId="166" dataCellStyle="Neutral">
      <calculatedColumnFormula>SUMIF(Data15272025121621[بیمه],1,Data15272025121621[[ مزایا مشمول]])</calculatedColumnFormula>
    </tableColumn>
    <tableColumn id="15" xr3:uid="{EDFF1591-3C11-4F65-AC76-B54A215A9440}" name="DSK_TMASH" dataDxfId="165" dataCellStyle="Neutral">
      <calculatedColumnFormula>SUMIF(Data15272025121621[بیمه],1,Data15272025121621[جمع حقوق و مزایا مشمول بیمه])</calculatedColumnFormula>
    </tableColumn>
    <tableColumn id="16" xr3:uid="{5F83FFD0-BF98-4BD6-AB07-1542B1082D4A}" name="DSK_TTOTL" dataDxfId="164" dataCellStyle="Neutral">
      <calculatedColumnFormula>SUMIF(Data15272025121621[بیمه],1,Data15272025121621[حقوق ناخالص])</calculatedColumnFormula>
    </tableColumn>
    <tableColumn id="17" xr3:uid="{043992D9-F9BA-4D2B-85AD-20FDA0E3004D}" name="DSK_TBIME" dataDxfId="163" dataCellStyle="Neutral">
      <calculatedColumnFormula>SUMIF(Data15272025121621[بیمه],1,Data15272025121621[بیمه سهم کارگر])</calculatedColumnFormula>
    </tableColumn>
    <tableColumn id="18" xr3:uid="{426D502C-5B88-420D-828A-C50D44E83CCB}" name="DSK_TKOSO" dataDxfId="162" dataCellStyle="Neutral">
      <calculatedColumnFormula>SUMIF(Data15272025121621[بیمه],1,Data15272025121621[بیمه سهم کارفرما])</calculatedColumnFormula>
    </tableColumn>
    <tableColumn id="19" xr3:uid="{F1212807-C84E-48BB-A9E0-1B2E99778BFA}" name="DSK_BIC" dataDxfId="161" dataCellStyle="Neutral">
      <calculatedColumnFormula>SUMIF(Data15272025121621[بیمه],1,Data15272025121621[بیمه بیکاری])</calculatedColumnFormula>
    </tableColumn>
    <tableColumn id="20" xr3:uid="{B7017177-71FB-4F0F-99EA-DDA3DA72F2AE}" name="DSK_RATE" dataDxfId="160" dataCellStyle="Neutral"/>
    <tableColumn id="21" xr3:uid="{5A6C2BFA-6A41-4BCB-A732-2D45C889F37C}" name="DSK_PRATE" dataDxfId="159" dataCellStyle="Neutral"/>
    <tableColumn id="22" xr3:uid="{88C12A4C-11FF-498D-8FF8-AEBAE47DC9AE}" name="DSK_BIMH" dataDxfId="158" dataCellStyle="Neutral"/>
    <tableColumn id="23" xr3:uid="{8C51EE04-B83A-4B2A-8FB3-4FCFCF2A4756}" name="MON_PYM" dataDxfId="157" dataCellStyle="Neutral"/>
    <tableColumn id="24" xr3:uid="{61DDF0BC-F579-41B7-856E-1D70A056DCC2}" name="DSK_INC" dataDxfId="156" dataCellStyle="Neutral">
      <calculatedColumnFormula>SUMIF(Data15272025121621[بیمه],1,Data15272025121621[جمع پایه سنواتی])</calculatedColumnFormula>
    </tableColumn>
    <tableColumn id="25" xr3:uid="{3562A4F3-E54A-43DA-BDD9-8FCD6D628BAB}" name="DSK_SPOUSE" dataDxfId="155" dataCellStyle="Neutral">
      <calculatedColumnFormula>SUMIF(Data15272025121621[بیمه],1,Data15272025121621[حق تاهل])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F48B417-E712-4375-BE23-1DE092256F03}" name="list_info302332152027" displayName="list_info302332152027" ref="X2:AS3" headerRowDxfId="154" dataDxfId="153" totalsRowDxfId="152" headerRowCellStyle="Good" dataCellStyle="Neutral">
  <autoFilter ref="X2:AS3" xr:uid="{0828D5DA-8324-47AB-9AB8-C95D9E48FB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90F297AF-4448-4993-ADC2-4D3415C28237}" name="کد کارگاه " totalsRowLabel="Total" dataDxfId="151" totalsRowDxfId="150" dataCellStyle="Neutral"/>
    <tableColumn id="2" xr3:uid="{F154F6F4-885C-4995-8DBA-9FE6EF1CE6C8}" name="نام کارگاه" dataDxfId="149" totalsRowDxfId="148" dataCellStyle="Neutral"/>
    <tableColumn id="3" xr3:uid="{5900A7E6-B766-446B-9477-2BC1D10DDC22}" name="نام کارفرما" dataDxfId="147" totalsRowDxfId="146" dataCellStyle="Neutral"/>
    <tableColumn id="4" xr3:uid="{751830A6-31DA-456C-8AB9-B2FC75E44C06}" name="آدرس کارگاه" dataDxfId="145" totalsRowDxfId="144" dataCellStyle="Neutral"/>
    <tableColumn id="5" xr3:uid="{0CD7C23E-1924-4768-BF27-DD75CE8276AF}" name="نوع لیست" dataDxfId="143" totalsRowDxfId="142" dataCellStyle="Neutral"/>
    <tableColumn id="6" xr3:uid="{6C149EA2-73DC-4E88-BAF1-A55C627FC1B4}" name="DSK_YY" dataDxfId="141" totalsRowDxfId="140" dataCellStyle="Neutral"/>
    <tableColumn id="7" xr3:uid="{432F6EB9-36B1-4B2D-9787-AB3AC4F67A1E}" name="DSK_MM" dataDxfId="139" totalsRowDxfId="138" dataCellStyle="Neutral"/>
    <tableColumn id="8" xr3:uid="{3D743C29-CDD7-45B1-94A4-748FC1DE8162}" name="شماره لیست" dataDxfId="137" totalsRowDxfId="136" dataCellStyle="Neutral"/>
    <tableColumn id="9" xr3:uid="{D1823C3D-E5D0-4C14-A203-169B5D55DF5D}" name="شرح لیست" dataDxfId="135" totalsRowDxfId="134" dataCellStyle="Neutral"/>
    <tableColumn id="14" xr3:uid="{40A17FCC-44A1-47CF-8C4A-BDAF51570BA0}" name="تعداد روز ماه" dataDxfId="133" totalsRowDxfId="132" dataCellStyle="Neutral"/>
    <tableColumn id="10" xr3:uid="{4659E2CD-985A-42BB-8590-F7FB57F30CDC}" name="بن خانوار" dataDxfId="131" totalsRowDxfId="130" dataCellStyle="Neutral"/>
    <tableColumn id="11" xr3:uid="{1A77E285-0340-4C54-8755-FFED435BE817}" name="حق مسکن" dataDxfId="129" totalsRowDxfId="128" dataCellStyle="Neutral"/>
    <tableColumn id="12" xr3:uid="{8A3D2E56-069C-4C0A-A76E-08579A7011D8}" name="حق تاهل" dataDxfId="127" totalsRowDxfId="126" dataCellStyle="Neutral"/>
    <tableColumn id="13" xr3:uid="{992553B6-0477-4321-A775-8D1C4E56A2C8}" name="حق اولاد" totalsRowFunction="sum" dataDxfId="125" totalsRowDxfId="124" dataCellStyle="Neutral"/>
    <tableColumn id="15" xr3:uid="{C5D735C8-9D2E-45D2-A604-4292F7ACA463}" name="درصد نوبت کاری" dataDxfId="123" dataCellStyle="Neutral"/>
    <tableColumn id="16" xr3:uid="{2E5156FC-C4E7-4407-AF5F-9430150FAD6A}" name="درصد فوق العاده ایاب و ذهاب  و کمک رفاهی ماهیانه  " dataDxfId="122" dataCellStyle="Neutral"/>
    <tableColumn id="17" xr3:uid="{8A69899B-B3A2-4949-B38F-6C55A95BEC74}" name="درصد فوق العاده جذب تخصصی ماهیانه " dataDxfId="121" dataCellStyle="Neutral"/>
    <tableColumn id="18" xr3:uid="{84168AFA-B29B-4B2D-9D4B-4F89FD3F538B}" name="درصد فوق العاده بدی آب و هوا" dataDxfId="120" dataCellStyle="Neutral"/>
    <tableColumn id="19" xr3:uid="{5FD6080A-BA7F-49F1-83CC-94C5228DFCB0}" name="فوق العاده جذب تخصصی دوری از خانواده " dataDxfId="119" dataCellStyle="Neutral"/>
    <tableColumn id="20" xr3:uid="{4FB6AC5B-A665-459F-9E7E-43A6EF8ECC83}" name="فوق العاده پارس جنوبی" dataDxfId="118" dataCellStyle="Neutral"/>
    <tableColumn id="23" xr3:uid="{075D2836-B8E7-4F69-A38A-216E8FA72D97}" name="ثابت فوق العاده ایاب و ذهاب" dataDxfId="117" dataCellStyle="Neutral"/>
    <tableColumn id="21" xr3:uid="{6371FA8C-EC8C-4BEC-BE0D-5C71599F6E17}" name="هزینه سفر یک روز" dataDxfId="116" dataCellStyle="Neutr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6.xml"/><Relationship Id="rId2" Type="http://schemas.openxmlformats.org/officeDocument/2006/relationships/drawing" Target="../drawings/drawing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4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70AE-5B01-441E-9809-A01E29E8192F}">
  <sheetPr codeName="Sheet8"/>
  <dimension ref="A1:L87"/>
  <sheetViews>
    <sheetView rightToLeft="1" topLeftCell="A50" workbookViewId="0">
      <selection activeCell="G72" sqref="G72"/>
    </sheetView>
  </sheetViews>
  <sheetFormatPr defaultRowHeight="14.25"/>
  <cols>
    <col min="1" max="1" width="65.25" customWidth="1"/>
    <col min="2" max="2" width="11.5" customWidth="1"/>
    <col min="3" max="3" width="56.75" bestFit="1" customWidth="1"/>
    <col min="4" max="4" width="9" customWidth="1"/>
    <col min="5" max="5" width="16.5" customWidth="1"/>
    <col min="6" max="7" width="12.875" customWidth="1"/>
    <col min="8" max="8" width="13" customWidth="1"/>
    <col min="9" max="9" width="17.625" bestFit="1" customWidth="1"/>
    <col min="11" max="11" width="12.125" customWidth="1"/>
    <col min="12" max="12" width="11.125" bestFit="1" customWidth="1"/>
    <col min="15" max="15" width="38.875" customWidth="1"/>
    <col min="16" max="16" width="11.625" customWidth="1"/>
    <col min="17" max="17" width="11.375" bestFit="1" customWidth="1"/>
    <col min="18" max="19" width="9" customWidth="1"/>
  </cols>
  <sheetData>
    <row r="1" spans="1:12" ht="15">
      <c r="A1" s="159" t="s">
        <v>182</v>
      </c>
      <c r="B1" s="159"/>
      <c r="C1" s="25"/>
      <c r="D1" s="25"/>
      <c r="E1" s="159" t="s">
        <v>183</v>
      </c>
      <c r="F1" s="159"/>
      <c r="H1" s="158" t="s">
        <v>184</v>
      </c>
      <c r="I1" s="158"/>
      <c r="K1" s="158" t="s">
        <v>185</v>
      </c>
      <c r="L1" s="158"/>
    </row>
    <row r="2" spans="1:12">
      <c r="A2" s="1" t="s">
        <v>186</v>
      </c>
      <c r="B2" s="1" t="s">
        <v>187</v>
      </c>
      <c r="C2" s="1" t="s">
        <v>255</v>
      </c>
      <c r="E2" t="s">
        <v>186</v>
      </c>
      <c r="F2" t="s">
        <v>187</v>
      </c>
      <c r="H2" t="s">
        <v>188</v>
      </c>
      <c r="I2" t="s">
        <v>189</v>
      </c>
      <c r="K2" t="s">
        <v>188</v>
      </c>
      <c r="L2" t="s">
        <v>189</v>
      </c>
    </row>
    <row r="3" spans="1:12" ht="15.75">
      <c r="A3" s="12" t="s">
        <v>7</v>
      </c>
      <c r="B3" s="1"/>
      <c r="C3" s="12" t="s">
        <v>7</v>
      </c>
      <c r="E3" s="26" t="s">
        <v>52</v>
      </c>
      <c r="F3">
        <v>1</v>
      </c>
      <c r="H3" t="s">
        <v>190</v>
      </c>
      <c r="I3" t="s">
        <v>487</v>
      </c>
      <c r="K3" t="s">
        <v>190</v>
      </c>
      <c r="L3" t="s">
        <v>488</v>
      </c>
    </row>
    <row r="4" spans="1:12" ht="15.75">
      <c r="A4" s="27" t="s">
        <v>191</v>
      </c>
      <c r="B4" s="1">
        <v>1</v>
      </c>
      <c r="C4" s="27" t="s">
        <v>256</v>
      </c>
      <c r="E4" s="26" t="s">
        <v>7</v>
      </c>
      <c r="H4" t="s">
        <v>192</v>
      </c>
      <c r="I4" t="s">
        <v>489</v>
      </c>
      <c r="K4" t="s">
        <v>192</v>
      </c>
      <c r="L4" t="s">
        <v>490</v>
      </c>
    </row>
    <row r="5" spans="1:12" ht="28.5">
      <c r="A5" s="27" t="s">
        <v>193</v>
      </c>
      <c r="B5" s="1">
        <v>1</v>
      </c>
      <c r="C5" s="27" t="s">
        <v>257</v>
      </c>
      <c r="E5" s="26" t="s">
        <v>43</v>
      </c>
      <c r="H5" t="s">
        <v>194</v>
      </c>
      <c r="I5" t="s">
        <v>491</v>
      </c>
      <c r="K5" t="s">
        <v>194</v>
      </c>
      <c r="L5" t="s">
        <v>492</v>
      </c>
    </row>
    <row r="6" spans="1:12" ht="15.75">
      <c r="A6" s="27" t="s">
        <v>195</v>
      </c>
      <c r="B6" s="1">
        <v>1</v>
      </c>
      <c r="C6" s="27" t="s">
        <v>258</v>
      </c>
      <c r="E6" s="26" t="s">
        <v>44</v>
      </c>
      <c r="H6" t="s">
        <v>196</v>
      </c>
      <c r="I6" t="s">
        <v>493</v>
      </c>
      <c r="K6" t="s">
        <v>196</v>
      </c>
      <c r="L6" t="s">
        <v>494</v>
      </c>
    </row>
    <row r="7" spans="1:12" ht="15.75">
      <c r="A7" s="27" t="s">
        <v>197</v>
      </c>
      <c r="B7" s="1">
        <v>84</v>
      </c>
      <c r="C7" s="27" t="s">
        <v>259</v>
      </c>
      <c r="E7" s="26" t="s">
        <v>178</v>
      </c>
      <c r="H7" t="s">
        <v>198</v>
      </c>
      <c r="I7" t="s">
        <v>495</v>
      </c>
      <c r="K7" t="s">
        <v>198</v>
      </c>
      <c r="L7" t="s">
        <v>496</v>
      </c>
    </row>
    <row r="8" spans="1:12" ht="15.75">
      <c r="A8" s="27" t="s">
        <v>199</v>
      </c>
      <c r="B8" s="1">
        <v>1</v>
      </c>
      <c r="C8" s="27" t="s">
        <v>199</v>
      </c>
      <c r="E8" s="26" t="s">
        <v>3</v>
      </c>
      <c r="H8" t="s">
        <v>200</v>
      </c>
      <c r="I8" t="s">
        <v>497</v>
      </c>
      <c r="K8" t="s">
        <v>200</v>
      </c>
      <c r="L8" t="s">
        <v>498</v>
      </c>
    </row>
    <row r="9" spans="1:12" ht="15.75">
      <c r="A9" s="12" t="s">
        <v>175</v>
      </c>
      <c r="B9" s="1">
        <v>0</v>
      </c>
      <c r="C9" s="12" t="s">
        <v>175</v>
      </c>
      <c r="E9" s="26" t="s">
        <v>4</v>
      </c>
      <c r="H9" t="s">
        <v>201</v>
      </c>
      <c r="I9" t="s">
        <v>499</v>
      </c>
      <c r="K9" t="s">
        <v>201</v>
      </c>
      <c r="L9" t="s">
        <v>500</v>
      </c>
    </row>
    <row r="10" spans="1:12" ht="15.75">
      <c r="A10" s="28" t="s">
        <v>202</v>
      </c>
      <c r="B10" s="1">
        <v>0</v>
      </c>
      <c r="C10" s="28" t="s">
        <v>202</v>
      </c>
      <c r="E10" s="26" t="s">
        <v>6</v>
      </c>
      <c r="H10" t="s">
        <v>203</v>
      </c>
      <c r="I10" t="s">
        <v>501</v>
      </c>
      <c r="K10" t="s">
        <v>203</v>
      </c>
      <c r="L10" t="s">
        <v>502</v>
      </c>
    </row>
    <row r="11" spans="1:12" ht="15.75">
      <c r="A11" s="28" t="s">
        <v>204</v>
      </c>
      <c r="B11" s="1">
        <v>1</v>
      </c>
      <c r="C11" s="28" t="s">
        <v>260</v>
      </c>
      <c r="E11" s="26" t="s">
        <v>42</v>
      </c>
      <c r="F11">
        <v>2</v>
      </c>
      <c r="H11" t="s">
        <v>205</v>
      </c>
      <c r="I11" t="s">
        <v>503</v>
      </c>
      <c r="K11" t="s">
        <v>205</v>
      </c>
      <c r="L11" t="s">
        <v>504</v>
      </c>
    </row>
    <row r="12" spans="1:12" ht="15.75">
      <c r="A12" s="28" t="s">
        <v>206</v>
      </c>
      <c r="B12" s="1">
        <v>0</v>
      </c>
      <c r="C12" s="28" t="s">
        <v>206</v>
      </c>
      <c r="E12" s="26" t="s">
        <v>53</v>
      </c>
      <c r="F12">
        <v>2</v>
      </c>
      <c r="H12" t="s">
        <v>207</v>
      </c>
      <c r="I12" t="s">
        <v>505</v>
      </c>
      <c r="K12" t="s">
        <v>207</v>
      </c>
      <c r="L12" t="s">
        <v>506</v>
      </c>
    </row>
    <row r="13" spans="1:12" ht="15.75">
      <c r="A13" s="28" t="s">
        <v>208</v>
      </c>
      <c r="B13" s="1">
        <v>1</v>
      </c>
      <c r="C13" s="28" t="s">
        <v>261</v>
      </c>
      <c r="E13" s="26" t="s">
        <v>8</v>
      </c>
      <c r="H13" t="s">
        <v>209</v>
      </c>
      <c r="I13" t="s">
        <v>507</v>
      </c>
      <c r="K13" t="s">
        <v>209</v>
      </c>
      <c r="L13" t="s">
        <v>508</v>
      </c>
    </row>
    <row r="14" spans="1:12" ht="15.75">
      <c r="A14" s="28" t="s">
        <v>210</v>
      </c>
      <c r="B14" s="1">
        <v>0</v>
      </c>
      <c r="C14" s="28" t="s">
        <v>210</v>
      </c>
      <c r="E14" s="26" t="s">
        <v>54</v>
      </c>
      <c r="F14" t="s">
        <v>64</v>
      </c>
      <c r="H14" t="s">
        <v>211</v>
      </c>
      <c r="I14" t="s">
        <v>509</v>
      </c>
      <c r="K14" t="s">
        <v>211</v>
      </c>
      <c r="L14" t="s">
        <v>510</v>
      </c>
    </row>
    <row r="15" spans="1:12" ht="15.75">
      <c r="A15" s="28" t="s">
        <v>212</v>
      </c>
      <c r="B15" s="1">
        <v>0</v>
      </c>
      <c r="C15" s="28" t="s">
        <v>212</v>
      </c>
      <c r="E15" s="26" t="s">
        <v>55</v>
      </c>
      <c r="F15">
        <v>1</v>
      </c>
      <c r="H15" t="s">
        <v>213</v>
      </c>
      <c r="I15" t="s">
        <v>511</v>
      </c>
      <c r="K15" t="s">
        <v>213</v>
      </c>
      <c r="L15" t="s">
        <v>512</v>
      </c>
    </row>
    <row r="16" spans="1:12" ht="15.75">
      <c r="A16" s="28" t="s">
        <v>214</v>
      </c>
      <c r="B16" s="1">
        <v>0</v>
      </c>
      <c r="C16" s="28" t="s">
        <v>214</v>
      </c>
      <c r="E16" s="29" t="s">
        <v>56</v>
      </c>
      <c r="F16">
        <v>103</v>
      </c>
    </row>
    <row r="17" spans="1:12" ht="15.75">
      <c r="A17" s="28" t="s">
        <v>215</v>
      </c>
      <c r="B17" s="1">
        <v>0</v>
      </c>
      <c r="C17" s="28" t="s">
        <v>215</v>
      </c>
      <c r="E17" s="4" t="s">
        <v>57</v>
      </c>
      <c r="F17">
        <v>103</v>
      </c>
      <c r="H17" s="158" t="s">
        <v>216</v>
      </c>
      <c r="I17" s="158"/>
    </row>
    <row r="18" spans="1:12" ht="15.75">
      <c r="A18" s="28" t="s">
        <v>217</v>
      </c>
      <c r="B18" s="1">
        <v>0</v>
      </c>
      <c r="C18" s="28" t="s">
        <v>217</v>
      </c>
      <c r="E18" s="4" t="s">
        <v>58</v>
      </c>
      <c r="F18">
        <v>1</v>
      </c>
      <c r="H18" t="s">
        <v>218</v>
      </c>
      <c r="I18" t="s">
        <v>219</v>
      </c>
    </row>
    <row r="19" spans="1:12" ht="15.75">
      <c r="A19" s="12" t="s">
        <v>26</v>
      </c>
      <c r="B19" s="1">
        <v>0</v>
      </c>
      <c r="C19" s="12" t="s">
        <v>26</v>
      </c>
      <c r="E19" s="4" t="s">
        <v>59</v>
      </c>
      <c r="F19">
        <v>1</v>
      </c>
      <c r="H19" t="s">
        <v>220</v>
      </c>
      <c r="I19">
        <v>2</v>
      </c>
    </row>
    <row r="20" spans="1:12" ht="15.75">
      <c r="A20" s="13" t="s">
        <v>50</v>
      </c>
      <c r="B20" s="1">
        <v>0</v>
      </c>
      <c r="C20" s="13" t="s">
        <v>50</v>
      </c>
      <c r="E20" s="4" t="s">
        <v>60</v>
      </c>
      <c r="F20">
        <v>15</v>
      </c>
      <c r="H20" t="s">
        <v>221</v>
      </c>
      <c r="I20">
        <v>3</v>
      </c>
    </row>
    <row r="21" spans="1:12" ht="15.75">
      <c r="A21" s="13" t="s">
        <v>25</v>
      </c>
      <c r="B21" s="1">
        <v>0</v>
      </c>
      <c r="C21" s="13" t="s">
        <v>25</v>
      </c>
      <c r="E21" s="4" t="s">
        <v>65</v>
      </c>
      <c r="H21" t="s">
        <v>222</v>
      </c>
      <c r="I21">
        <v>37</v>
      </c>
      <c r="K21" s="1" t="s">
        <v>186</v>
      </c>
      <c r="L21" s="1" t="s">
        <v>187</v>
      </c>
    </row>
    <row r="22" spans="1:12" ht="15.75">
      <c r="A22" s="28" t="s">
        <v>223</v>
      </c>
      <c r="B22" s="1">
        <v>0</v>
      </c>
      <c r="C22" s="28" t="s">
        <v>223</v>
      </c>
      <c r="E22" s="4" t="s">
        <v>61</v>
      </c>
      <c r="F22">
        <v>2</v>
      </c>
      <c r="K22" s="30" t="s">
        <v>92</v>
      </c>
      <c r="L22" s="14">
        <v>9009006151</v>
      </c>
    </row>
    <row r="23" spans="1:12" ht="15.75">
      <c r="A23" s="28" t="s">
        <v>224</v>
      </c>
      <c r="B23" s="1">
        <v>0</v>
      </c>
      <c r="C23" s="28" t="s">
        <v>224</v>
      </c>
      <c r="E23" s="4" t="s">
        <v>62</v>
      </c>
      <c r="K23" s="31" t="s">
        <v>93</v>
      </c>
      <c r="L23" s="14" t="s">
        <v>515</v>
      </c>
    </row>
    <row r="24" spans="1:12" ht="15.75">
      <c r="A24" s="28" t="s">
        <v>225</v>
      </c>
      <c r="B24" s="1">
        <v>0</v>
      </c>
      <c r="C24" s="28" t="s">
        <v>225</v>
      </c>
      <c r="E24" s="4" t="s">
        <v>363</v>
      </c>
      <c r="K24" s="31" t="s">
        <v>94</v>
      </c>
      <c r="L24" s="14"/>
    </row>
    <row r="25" spans="1:12" ht="15.75">
      <c r="A25" s="12" t="s">
        <v>30</v>
      </c>
      <c r="B25" s="1">
        <v>0</v>
      </c>
      <c r="C25" s="12" t="s">
        <v>30</v>
      </c>
      <c r="E25" s="4" t="s">
        <v>63</v>
      </c>
      <c r="K25" s="31" t="s">
        <v>95</v>
      </c>
      <c r="L25" s="14" t="s">
        <v>120</v>
      </c>
    </row>
    <row r="26" spans="1:12" ht="15">
      <c r="A26" s="28" t="s">
        <v>226</v>
      </c>
      <c r="B26" s="1">
        <v>0</v>
      </c>
      <c r="C26" s="28" t="s">
        <v>226</v>
      </c>
      <c r="K26" s="31" t="s">
        <v>96</v>
      </c>
      <c r="L26" s="14"/>
    </row>
    <row r="27" spans="1:12" ht="15">
      <c r="A27" s="28" t="s">
        <v>227</v>
      </c>
      <c r="B27" s="1">
        <v>0</v>
      </c>
      <c r="C27" s="28" t="s">
        <v>227</v>
      </c>
      <c r="K27" s="31" t="s">
        <v>97</v>
      </c>
      <c r="L27" s="14"/>
    </row>
    <row r="28" spans="1:12" ht="15">
      <c r="A28" s="28" t="s">
        <v>228</v>
      </c>
      <c r="B28" s="1">
        <v>0</v>
      </c>
      <c r="C28" s="28" t="s">
        <v>228</v>
      </c>
      <c r="K28" s="31" t="s">
        <v>98</v>
      </c>
      <c r="L28" s="14"/>
    </row>
    <row r="29" spans="1:12" ht="15">
      <c r="A29" s="12" t="s">
        <v>29</v>
      </c>
      <c r="B29" s="1">
        <v>0</v>
      </c>
      <c r="C29" s="12" t="s">
        <v>29</v>
      </c>
      <c r="H29" s="1" t="s">
        <v>186</v>
      </c>
      <c r="I29" s="1" t="s">
        <v>187</v>
      </c>
      <c r="K29" s="31" t="s">
        <v>99</v>
      </c>
      <c r="L29" s="14"/>
    </row>
    <row r="30" spans="1:12" ht="15">
      <c r="A30" s="28" t="s">
        <v>229</v>
      </c>
      <c r="B30" s="1">
        <v>0</v>
      </c>
      <c r="C30" s="28" t="s">
        <v>229</v>
      </c>
      <c r="H30" s="15" t="s">
        <v>146</v>
      </c>
      <c r="I30" s="16" t="s">
        <v>119</v>
      </c>
      <c r="K30" s="31" t="s">
        <v>100</v>
      </c>
      <c r="L30" s="14"/>
    </row>
    <row r="31" spans="1:12" ht="15">
      <c r="A31" s="32" t="s">
        <v>28</v>
      </c>
      <c r="B31" s="1">
        <v>0</v>
      </c>
      <c r="C31" s="32" t="s">
        <v>28</v>
      </c>
      <c r="H31" s="15" t="s">
        <v>147</v>
      </c>
      <c r="I31" s="16" t="s">
        <v>173</v>
      </c>
      <c r="K31" s="31" t="s">
        <v>101</v>
      </c>
      <c r="L31" s="14"/>
    </row>
    <row r="32" spans="1:12" ht="21.75" customHeight="1">
      <c r="A32" s="28" t="s">
        <v>230</v>
      </c>
      <c r="B32" s="1">
        <v>0</v>
      </c>
      <c r="C32" s="28" t="s">
        <v>230</v>
      </c>
      <c r="E32" s="45"/>
      <c r="H32" s="15" t="s">
        <v>148</v>
      </c>
      <c r="I32" s="16" t="s">
        <v>243</v>
      </c>
      <c r="K32" s="31" t="s">
        <v>102</v>
      </c>
      <c r="L32" s="14"/>
    </row>
    <row r="33" spans="1:12" ht="20.25" customHeight="1">
      <c r="A33" s="28" t="s">
        <v>231</v>
      </c>
      <c r="B33" s="1">
        <v>0</v>
      </c>
      <c r="C33" s="28" t="s">
        <v>231</v>
      </c>
      <c r="E33" s="45"/>
      <c r="H33" s="15" t="s">
        <v>149</v>
      </c>
      <c r="I33" s="16"/>
      <c r="K33" s="31" t="s">
        <v>103</v>
      </c>
      <c r="L33" s="14"/>
    </row>
    <row r="34" spans="1:12" ht="21.75" customHeight="1">
      <c r="A34" s="28" t="s">
        <v>232</v>
      </c>
      <c r="B34" s="1">
        <v>0</v>
      </c>
      <c r="C34" s="28" t="s">
        <v>232</v>
      </c>
      <c r="E34" s="45"/>
      <c r="H34" s="15" t="s">
        <v>150</v>
      </c>
      <c r="I34" s="16"/>
      <c r="K34" s="31" t="s">
        <v>104</v>
      </c>
      <c r="L34" s="14"/>
    </row>
    <row r="35" spans="1:12" ht="15">
      <c r="A35" s="12" t="s">
        <v>33</v>
      </c>
      <c r="B35" s="1">
        <v>0</v>
      </c>
      <c r="C35" s="12" t="s">
        <v>33</v>
      </c>
      <c r="E35" s="46"/>
      <c r="H35" s="15" t="s">
        <v>151</v>
      </c>
      <c r="I35" s="16"/>
      <c r="K35" s="31" t="s">
        <v>105</v>
      </c>
      <c r="L35" s="14"/>
    </row>
    <row r="36" spans="1:12" ht="15">
      <c r="A36" s="33" t="s">
        <v>233</v>
      </c>
      <c r="B36" s="1">
        <v>0</v>
      </c>
      <c r="C36" s="33" t="s">
        <v>233</v>
      </c>
      <c r="H36" s="15" t="s">
        <v>152</v>
      </c>
      <c r="I36" s="16"/>
      <c r="K36" s="31" t="s">
        <v>106</v>
      </c>
      <c r="L36" s="14"/>
    </row>
    <row r="37" spans="1:12" ht="15">
      <c r="A37" s="34" t="s">
        <v>234</v>
      </c>
      <c r="B37" s="1">
        <v>0</v>
      </c>
      <c r="C37" s="34" t="s">
        <v>234</v>
      </c>
      <c r="H37" s="15" t="s">
        <v>153</v>
      </c>
      <c r="I37" s="17"/>
      <c r="K37" s="31" t="s">
        <v>107</v>
      </c>
      <c r="L37" s="14"/>
    </row>
    <row r="38" spans="1:12" ht="15">
      <c r="A38" s="12" t="s">
        <v>248</v>
      </c>
      <c r="B38" s="1">
        <v>0</v>
      </c>
      <c r="C38" s="12" t="s">
        <v>248</v>
      </c>
      <c r="H38" s="15" t="s">
        <v>154</v>
      </c>
      <c r="I38" s="17"/>
      <c r="K38" s="31" t="s">
        <v>108</v>
      </c>
      <c r="L38" s="14"/>
    </row>
    <row r="39" spans="1:12" ht="15">
      <c r="A39" s="12" t="s">
        <v>249</v>
      </c>
      <c r="B39" s="1">
        <v>0</v>
      </c>
      <c r="C39" s="12" t="s">
        <v>249</v>
      </c>
      <c r="H39" s="15" t="s">
        <v>155</v>
      </c>
      <c r="I39" s="35"/>
      <c r="K39" s="31" t="s">
        <v>109</v>
      </c>
      <c r="L39" s="14"/>
    </row>
    <row r="40" spans="1:12" ht="15">
      <c r="A40" s="12" t="s">
        <v>250</v>
      </c>
      <c r="B40" s="1">
        <v>0</v>
      </c>
      <c r="C40" s="12" t="s">
        <v>250</v>
      </c>
      <c r="H40" s="15" t="s">
        <v>156</v>
      </c>
      <c r="I40" s="18"/>
      <c r="K40" s="31" t="s">
        <v>110</v>
      </c>
      <c r="L40" s="14"/>
    </row>
    <row r="41" spans="1:12" ht="15">
      <c r="A41" s="12" t="s">
        <v>281</v>
      </c>
      <c r="B41" s="1">
        <v>0</v>
      </c>
      <c r="C41" s="12" t="s">
        <v>251</v>
      </c>
      <c r="E41" t="s">
        <v>396</v>
      </c>
      <c r="F41">
        <v>1234</v>
      </c>
      <c r="H41" s="15" t="s">
        <v>157</v>
      </c>
      <c r="I41" s="18"/>
      <c r="K41" s="31" t="s">
        <v>111</v>
      </c>
      <c r="L41" s="14"/>
    </row>
    <row r="42" spans="1:12" ht="15">
      <c r="H42" s="15" t="s">
        <v>158</v>
      </c>
      <c r="I42" s="18"/>
      <c r="K42" s="31" t="s">
        <v>112</v>
      </c>
      <c r="L42" s="14"/>
    </row>
    <row r="43" spans="1:12" ht="15">
      <c r="A43" t="s">
        <v>235</v>
      </c>
      <c r="B43" t="s">
        <v>189</v>
      </c>
      <c r="H43" s="15" t="s">
        <v>159</v>
      </c>
      <c r="I43" s="18"/>
      <c r="K43" s="31" t="s">
        <v>113</v>
      </c>
      <c r="L43" s="14"/>
    </row>
    <row r="44" spans="1:12" ht="15">
      <c r="A44" t="s">
        <v>246</v>
      </c>
      <c r="B44" t="s">
        <v>236</v>
      </c>
      <c r="H44" s="15" t="s">
        <v>160</v>
      </c>
      <c r="I44" s="18"/>
      <c r="K44" s="31" t="s">
        <v>114</v>
      </c>
      <c r="L44" s="14"/>
    </row>
    <row r="45" spans="1:12" ht="15">
      <c r="A45" t="s">
        <v>247</v>
      </c>
      <c r="B45" t="s">
        <v>237</v>
      </c>
      <c r="H45" s="15" t="s">
        <v>161</v>
      </c>
      <c r="I45" s="18"/>
      <c r="K45" s="31" t="s">
        <v>115</v>
      </c>
      <c r="L45" s="14"/>
    </row>
    <row r="46" spans="1:12" ht="15">
      <c r="A46" t="s">
        <v>486</v>
      </c>
      <c r="B46" t="s">
        <v>238</v>
      </c>
      <c r="H46" s="15" t="s">
        <v>162</v>
      </c>
      <c r="I46" s="18"/>
      <c r="K46" s="31" t="s">
        <v>116</v>
      </c>
      <c r="L46" s="14"/>
    </row>
    <row r="47" spans="1:12" ht="15">
      <c r="A47" t="s">
        <v>513</v>
      </c>
      <c r="B47" t="s">
        <v>239</v>
      </c>
      <c r="H47" s="15" t="s">
        <v>163</v>
      </c>
      <c r="I47" s="18"/>
      <c r="K47" s="31" t="s">
        <v>117</v>
      </c>
      <c r="L47" s="14"/>
    </row>
    <row r="48" spans="1:12" ht="15">
      <c r="A48" t="s">
        <v>514</v>
      </c>
      <c r="B48" t="s">
        <v>445</v>
      </c>
      <c r="H48" s="15" t="s">
        <v>164</v>
      </c>
      <c r="I48" s="18"/>
      <c r="K48" s="31" t="s">
        <v>118</v>
      </c>
      <c r="L48" s="14"/>
    </row>
    <row r="49" spans="1:12" ht="15">
      <c r="H49" s="15" t="s">
        <v>165</v>
      </c>
      <c r="I49" s="17"/>
      <c r="K49" s="31" t="s">
        <v>123</v>
      </c>
      <c r="L49" s="14"/>
    </row>
    <row r="50" spans="1:12" ht="15">
      <c r="H50" s="15" t="s">
        <v>166</v>
      </c>
      <c r="I50" s="17"/>
      <c r="K50" s="36" t="s">
        <v>124</v>
      </c>
      <c r="L50" s="14"/>
    </row>
    <row r="51" spans="1:12">
      <c r="H51" s="15" t="s">
        <v>167</v>
      </c>
      <c r="I51" s="17"/>
    </row>
    <row r="52" spans="1:12">
      <c r="H52" s="15" t="s">
        <v>168</v>
      </c>
      <c r="I52" s="16"/>
    </row>
    <row r="53" spans="1:12">
      <c r="A53" t="s">
        <v>186</v>
      </c>
      <c r="B53" t="s">
        <v>187</v>
      </c>
      <c r="H53" s="15" t="s">
        <v>169</v>
      </c>
      <c r="I53" s="17"/>
    </row>
    <row r="54" spans="1:12">
      <c r="A54" t="s">
        <v>7</v>
      </c>
      <c r="H54" s="15" t="s">
        <v>170</v>
      </c>
      <c r="I54" s="18"/>
    </row>
    <row r="55" spans="1:12" ht="15">
      <c r="C55" s="158" t="s">
        <v>446</v>
      </c>
      <c r="D55" s="158"/>
      <c r="E55" s="158"/>
    </row>
    <row r="56" spans="1:12">
      <c r="C56" t="s">
        <v>416</v>
      </c>
      <c r="D56" t="s">
        <v>415</v>
      </c>
      <c r="E56" s="1" t="s">
        <v>187</v>
      </c>
    </row>
    <row r="57" spans="1:12" ht="15">
      <c r="C57" s="126" t="s">
        <v>1</v>
      </c>
      <c r="H57" s="133" t="s">
        <v>186</v>
      </c>
    </row>
    <row r="58" spans="1:12" ht="15">
      <c r="C58" s="127" t="s">
        <v>409</v>
      </c>
      <c r="D58" t="s">
        <v>284</v>
      </c>
      <c r="H58" s="132" t="s">
        <v>1</v>
      </c>
    </row>
    <row r="59" spans="1:12" ht="15">
      <c r="C59" s="128" t="s">
        <v>410</v>
      </c>
      <c r="D59" t="s">
        <v>74</v>
      </c>
      <c r="H59" s="131" t="s">
        <v>414</v>
      </c>
    </row>
    <row r="60" spans="1:12" ht="15">
      <c r="C60" s="127" t="s">
        <v>411</v>
      </c>
      <c r="D60" t="s">
        <v>414</v>
      </c>
      <c r="H60" s="132" t="s">
        <v>577</v>
      </c>
    </row>
    <row r="61" spans="1:12" ht="15">
      <c r="C61" s="127" t="s">
        <v>255</v>
      </c>
      <c r="D61" t="s">
        <v>414</v>
      </c>
      <c r="E61" t="s">
        <v>533</v>
      </c>
      <c r="H61" s="132" t="s">
        <v>7</v>
      </c>
    </row>
    <row r="62" spans="1:12" ht="15">
      <c r="C62" s="128" t="s">
        <v>412</v>
      </c>
      <c r="H62" s="132" t="s">
        <v>577</v>
      </c>
    </row>
    <row r="63" spans="1:12" ht="15">
      <c r="C63" s="129" t="s">
        <v>413</v>
      </c>
      <c r="H63" s="141" t="s">
        <v>74</v>
      </c>
    </row>
    <row r="64" spans="1:12" ht="15">
      <c r="H64" s="132" t="s">
        <v>577</v>
      </c>
    </row>
    <row r="65" spans="3:8" ht="15">
      <c r="H65" s="132" t="s">
        <v>283</v>
      </c>
    </row>
    <row r="66" spans="3:8" ht="15">
      <c r="H66" s="132" t="s">
        <v>577</v>
      </c>
    </row>
    <row r="67" spans="3:8" ht="15">
      <c r="C67" t="s">
        <v>15</v>
      </c>
      <c r="D67" t="s">
        <v>516</v>
      </c>
      <c r="E67" t="s">
        <v>517</v>
      </c>
      <c r="H67" s="132" t="s">
        <v>575</v>
      </c>
    </row>
    <row r="68" spans="3:8" ht="15">
      <c r="C68">
        <v>1</v>
      </c>
      <c r="D68">
        <v>5541850</v>
      </c>
      <c r="E68">
        <v>166667</v>
      </c>
      <c r="H68" s="132" t="s">
        <v>577</v>
      </c>
    </row>
    <row r="69" spans="3:8" ht="15">
      <c r="C69">
        <v>2</v>
      </c>
      <c r="D69">
        <v>5568282</v>
      </c>
      <c r="E69">
        <v>166867</v>
      </c>
      <c r="H69" s="132" t="s">
        <v>576</v>
      </c>
    </row>
    <row r="70" spans="3:8">
      <c r="C70">
        <v>3</v>
      </c>
      <c r="D70">
        <v>5594714</v>
      </c>
      <c r="E70">
        <v>167067</v>
      </c>
    </row>
    <row r="71" spans="3:8">
      <c r="C71">
        <v>4</v>
      </c>
      <c r="D71">
        <v>5621146</v>
      </c>
      <c r="E71">
        <v>167267</v>
      </c>
    </row>
    <row r="72" spans="3:8">
      <c r="C72">
        <v>5</v>
      </c>
      <c r="D72">
        <v>5656388</v>
      </c>
      <c r="E72">
        <v>167467</v>
      </c>
    </row>
    <row r="73" spans="3:8">
      <c r="C73">
        <v>6</v>
      </c>
      <c r="D73">
        <v>5691631</v>
      </c>
      <c r="E73">
        <v>167667</v>
      </c>
    </row>
    <row r="74" spans="3:8">
      <c r="C74">
        <v>7</v>
      </c>
      <c r="D74">
        <v>5726874</v>
      </c>
      <c r="E74">
        <v>167867</v>
      </c>
    </row>
    <row r="75" spans="3:8">
      <c r="C75">
        <v>8</v>
      </c>
      <c r="D75">
        <v>5770927</v>
      </c>
      <c r="E75">
        <v>168067</v>
      </c>
    </row>
    <row r="76" spans="3:8">
      <c r="C76">
        <v>9</v>
      </c>
      <c r="D76">
        <v>5814980</v>
      </c>
      <c r="E76">
        <v>168267</v>
      </c>
    </row>
    <row r="77" spans="3:8">
      <c r="C77">
        <v>10</v>
      </c>
      <c r="D77">
        <v>5867844</v>
      </c>
      <c r="E77">
        <v>168467</v>
      </c>
    </row>
    <row r="78" spans="3:8">
      <c r="C78">
        <v>11</v>
      </c>
      <c r="D78">
        <v>5920708</v>
      </c>
      <c r="E78">
        <v>168667</v>
      </c>
    </row>
    <row r="79" spans="3:8">
      <c r="C79">
        <v>12</v>
      </c>
      <c r="D79">
        <v>5973572</v>
      </c>
      <c r="E79">
        <v>169067</v>
      </c>
    </row>
    <row r="80" spans="3:8">
      <c r="C80">
        <v>13</v>
      </c>
      <c r="D80">
        <v>6044057</v>
      </c>
      <c r="E80">
        <v>169467</v>
      </c>
    </row>
    <row r="81" spans="3:5">
      <c r="C81">
        <v>14</v>
      </c>
      <c r="D81">
        <v>6114542</v>
      </c>
      <c r="E81">
        <v>169867</v>
      </c>
    </row>
    <row r="82" spans="3:5">
      <c r="C82">
        <v>15</v>
      </c>
      <c r="D82">
        <v>6185027</v>
      </c>
      <c r="E82">
        <v>170267</v>
      </c>
    </row>
    <row r="83" spans="3:5">
      <c r="C83">
        <v>16</v>
      </c>
      <c r="D83">
        <v>6273134</v>
      </c>
      <c r="E83">
        <v>170667</v>
      </c>
    </row>
    <row r="84" spans="3:5">
      <c r="C84">
        <v>17</v>
      </c>
      <c r="D84">
        <v>6361240</v>
      </c>
      <c r="E84">
        <v>171067</v>
      </c>
    </row>
    <row r="85" spans="3:5">
      <c r="C85">
        <v>18</v>
      </c>
      <c r="D85">
        <v>6466968</v>
      </c>
      <c r="E85">
        <v>171467</v>
      </c>
    </row>
    <row r="86" spans="3:5">
      <c r="C86">
        <v>19</v>
      </c>
      <c r="D86">
        <v>6572696</v>
      </c>
      <c r="E86">
        <v>171867</v>
      </c>
    </row>
    <row r="87" spans="3:5">
      <c r="C87">
        <v>20</v>
      </c>
      <c r="D87">
        <v>6704856</v>
      </c>
      <c r="E87">
        <v>172267</v>
      </c>
    </row>
  </sheetData>
  <mergeCells count="6">
    <mergeCell ref="K1:L1"/>
    <mergeCell ref="C55:E55"/>
    <mergeCell ref="H17:I17"/>
    <mergeCell ref="A1:B1"/>
    <mergeCell ref="E1:F1"/>
    <mergeCell ref="H1:I1"/>
  </mergeCells>
  <phoneticPr fontId="27" type="noConversion"/>
  <dataValidations count="1">
    <dataValidation type="custom" showInputMessage="1" showErrorMessage="1" errorTitle="شماره شبا مقصد" error="شماره شبا وارد شده نامعتبر است" promptTitle="شماره حساب یا شبا مقصد" prompt="شماره حساب مقصد میبایست عددی و 13 رقم باشد_x000a_شماره شبا مقصد باید شامل 26 کاراکتر بوده و با IR شروع شود" sqref="C59" xr:uid="{B999987B-94AD-4B2F-8DCE-1C961ABF23E6}">
      <formula1>AND(LEN(C59)=26, LEFT(C59,2)="IR", ISNUMBER(VALUE(MID(C59,3,24))))</formula1>
    </dataValidation>
  </dataValidations>
  <pageMargins left="0.7" right="0.7" top="0.75" bottom="0.75" header="0.3" footer="0.3"/>
  <pageSetup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AC36A-86F0-4DEE-B067-54F841F9BCC4}">
  <sheetPr codeName="Sheet11">
    <pageSetUpPr fitToPage="1"/>
  </sheetPr>
  <dimension ref="A1:BR55"/>
  <sheetViews>
    <sheetView rightToLeft="1" tabSelected="1" zoomScale="90" zoomScaleNormal="90" workbookViewId="0">
      <pane xSplit="6" ySplit="2" topLeftCell="AG3" activePane="bottomRight" state="frozen"/>
      <selection pane="topRight" activeCell="G1" sqref="G1"/>
      <selection pane="bottomLeft" activeCell="A3" sqref="A3"/>
      <selection pane="bottomRight" activeCell="AU4" sqref="AU4"/>
    </sheetView>
  </sheetViews>
  <sheetFormatPr defaultColWidth="9.125" defaultRowHeight="14.25"/>
  <cols>
    <col min="1" max="1" width="14.375" style="2" bestFit="1" customWidth="1"/>
    <col min="2" max="2" width="11.125" style="1" bestFit="1" customWidth="1"/>
    <col min="3" max="3" width="12.125" bestFit="1" customWidth="1"/>
    <col min="4" max="4" width="13.375" bestFit="1" customWidth="1"/>
    <col min="5" max="5" width="12.125" bestFit="1" customWidth="1"/>
    <col min="6" max="6" width="14.625" bestFit="1" customWidth="1"/>
    <col min="7" max="7" width="13.375" bestFit="1" customWidth="1"/>
    <col min="8" max="8" width="13.125" bestFit="1" customWidth="1"/>
    <col min="9" max="9" width="15.25" bestFit="1" customWidth="1"/>
    <col min="10" max="10" width="15.375" bestFit="1" customWidth="1"/>
    <col min="11" max="11" width="17.875" bestFit="1" customWidth="1"/>
    <col min="12" max="12" width="14.25" bestFit="1" customWidth="1"/>
    <col min="13" max="13" width="16.25" bestFit="1" customWidth="1"/>
    <col min="14" max="14" width="13.875" bestFit="1" customWidth="1"/>
    <col min="15" max="15" width="14" bestFit="1" customWidth="1"/>
    <col min="16" max="16" width="15.75" customWidth="1"/>
    <col min="17" max="17" width="14.5" customWidth="1"/>
    <col min="18" max="18" width="14.375" bestFit="1" customWidth="1"/>
    <col min="19" max="19" width="12.375" bestFit="1" customWidth="1"/>
    <col min="20" max="20" width="11.75" bestFit="1" customWidth="1"/>
    <col min="21" max="21" width="16.375" bestFit="1" customWidth="1"/>
    <col min="22" max="22" width="14.375" bestFit="1" customWidth="1"/>
    <col min="23" max="23" width="15.75" customWidth="1"/>
    <col min="24" max="24" width="14.25" bestFit="1" customWidth="1"/>
    <col min="25" max="25" width="15.875" bestFit="1" customWidth="1"/>
    <col min="26" max="26" width="10.25" style="11" customWidth="1"/>
    <col min="27" max="27" width="14.625" style="2" customWidth="1"/>
    <col min="28" max="28" width="11.625" style="2" customWidth="1"/>
    <col min="29" max="29" width="13.75" style="2" customWidth="1"/>
    <col min="30" max="30" width="17.75" style="2" bestFit="1" customWidth="1"/>
    <col min="31" max="31" width="11.125" style="2" customWidth="1"/>
    <col min="32" max="32" width="11.75" style="1" customWidth="1"/>
    <col min="33" max="33" width="27.25" style="1" bestFit="1" customWidth="1"/>
    <col min="34" max="36" width="9.125" style="2"/>
    <col min="37" max="37" width="14.25" style="2" bestFit="1" customWidth="1"/>
    <col min="38" max="38" width="9.125" style="2" customWidth="1"/>
    <col min="39" max="39" width="10.75" style="2" bestFit="1" customWidth="1"/>
    <col min="40" max="41" width="9.125" style="2" customWidth="1"/>
    <col min="42" max="42" width="13.875" style="2" customWidth="1"/>
    <col min="43" max="43" width="9.125" style="2" customWidth="1"/>
    <col min="44" max="44" width="9.625" style="2" customWidth="1"/>
    <col min="45" max="45" width="12.625" style="2" bestFit="1" customWidth="1"/>
    <col min="46" max="46" width="9.875" style="2" bestFit="1" customWidth="1"/>
    <col min="47" max="47" width="15.375" style="2" bestFit="1" customWidth="1"/>
    <col min="48" max="48" width="16" style="2" customWidth="1"/>
    <col min="49" max="49" width="15.625" style="2" customWidth="1"/>
    <col min="50" max="53" width="9.125" style="2"/>
    <col min="54" max="54" width="11.875" style="2" customWidth="1"/>
    <col min="55" max="55" width="16.625" style="2" customWidth="1"/>
    <col min="56" max="56" width="14.75" style="2" customWidth="1"/>
    <col min="57" max="57" width="15.625" style="2" customWidth="1"/>
    <col min="58" max="58" width="9.125" style="2"/>
    <col min="59" max="59" width="15" style="2" customWidth="1"/>
    <col min="60" max="60" width="9.125" style="2"/>
    <col min="61" max="61" width="11" style="2" customWidth="1"/>
    <col min="62" max="62" width="11.875" style="2" customWidth="1"/>
    <col min="63" max="64" width="9.125" style="2"/>
    <col min="65" max="65" width="12.125" style="2" customWidth="1"/>
    <col min="66" max="66" width="12.75" style="2" customWidth="1"/>
    <col min="67" max="67" width="10.625" style="2" customWidth="1"/>
    <col min="68" max="68" width="15.875" style="2" customWidth="1"/>
    <col min="69" max="69" width="15.375" style="2" customWidth="1"/>
    <col min="70" max="70" width="11" style="2" customWidth="1"/>
    <col min="71" max="71" width="11.5" style="2" customWidth="1"/>
    <col min="72" max="72" width="11.625" style="2" customWidth="1"/>
    <col min="73" max="73" width="14.75" style="2" customWidth="1"/>
    <col min="74" max="16384" width="9.125" style="2"/>
  </cols>
  <sheetData>
    <row r="1" spans="1:47" s="8" customFormat="1" ht="99.75" customHeight="1">
      <c r="A1" s="37" t="s">
        <v>40</v>
      </c>
      <c r="B1" s="39"/>
      <c r="C1" s="76" t="s">
        <v>66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7"/>
      <c r="Z1" s="161" t="s">
        <v>67</v>
      </c>
      <c r="AA1" s="162"/>
      <c r="AB1" s="162"/>
      <c r="AC1" s="162"/>
      <c r="AD1" s="162"/>
      <c r="AE1" s="162"/>
      <c r="AF1" s="162"/>
      <c r="AG1" s="162"/>
      <c r="AH1" s="160" t="s">
        <v>38</v>
      </c>
      <c r="AI1" s="160"/>
      <c r="AJ1" s="160"/>
      <c r="AK1" s="160"/>
      <c r="AL1" s="160"/>
      <c r="AM1" s="160"/>
      <c r="AN1" s="160"/>
      <c r="AO1" s="160"/>
      <c r="AP1" s="160"/>
    </row>
    <row r="2" spans="1:47" s="9" customFormat="1" ht="63" customHeight="1">
      <c r="A2" s="4" t="s">
        <v>0</v>
      </c>
      <c r="B2" s="20" t="s">
        <v>1</v>
      </c>
      <c r="C2" s="21" t="s">
        <v>52</v>
      </c>
      <c r="D2" s="21" t="s">
        <v>7</v>
      </c>
      <c r="E2" s="21" t="s">
        <v>43</v>
      </c>
      <c r="F2" s="21" t="s">
        <v>44</v>
      </c>
      <c r="G2" s="21" t="s">
        <v>178</v>
      </c>
      <c r="H2" s="21" t="s">
        <v>3</v>
      </c>
      <c r="I2" s="21" t="s">
        <v>4</v>
      </c>
      <c r="J2" s="21" t="s">
        <v>6</v>
      </c>
      <c r="K2" s="21" t="s">
        <v>42</v>
      </c>
      <c r="L2" s="21" t="s">
        <v>53</v>
      </c>
      <c r="M2" s="21" t="s">
        <v>8</v>
      </c>
      <c r="N2" s="21" t="s">
        <v>54</v>
      </c>
      <c r="O2" s="21" t="s">
        <v>55</v>
      </c>
      <c r="P2" s="23" t="s">
        <v>56</v>
      </c>
      <c r="Q2" s="21" t="s">
        <v>57</v>
      </c>
      <c r="R2" s="21" t="s">
        <v>58</v>
      </c>
      <c r="S2" s="21" t="s">
        <v>59</v>
      </c>
      <c r="T2" s="21" t="s">
        <v>60</v>
      </c>
      <c r="U2" s="21" t="s">
        <v>65</v>
      </c>
      <c r="V2" s="21" t="s">
        <v>61</v>
      </c>
      <c r="W2" s="21" t="s">
        <v>62</v>
      </c>
      <c r="X2" s="4" t="s">
        <v>363</v>
      </c>
      <c r="Y2" s="4" t="s">
        <v>63</v>
      </c>
      <c r="Z2" s="24" t="s">
        <v>91</v>
      </c>
      <c r="AA2" s="38" t="s">
        <v>5</v>
      </c>
      <c r="AB2" s="4" t="s">
        <v>242</v>
      </c>
      <c r="AC2" s="21" t="s">
        <v>79</v>
      </c>
      <c r="AD2" s="20" t="s">
        <v>80</v>
      </c>
      <c r="AE2" s="20" t="s">
        <v>81</v>
      </c>
      <c r="AF2" s="20" t="s">
        <v>285</v>
      </c>
      <c r="AG2" s="22" t="s">
        <v>74</v>
      </c>
      <c r="AH2" s="43" t="s">
        <v>9</v>
      </c>
      <c r="AI2" s="43" t="s">
        <v>10</v>
      </c>
      <c r="AJ2" s="43" t="s">
        <v>395</v>
      </c>
      <c r="AK2" s="44" t="s">
        <v>24</v>
      </c>
      <c r="AL2" s="43" t="s">
        <v>15</v>
      </c>
      <c r="AM2" s="43" t="s">
        <v>16</v>
      </c>
      <c r="AN2" s="43" t="s">
        <v>22</v>
      </c>
      <c r="AO2" s="43" t="s">
        <v>244</v>
      </c>
      <c r="AP2" s="43" t="s">
        <v>280</v>
      </c>
      <c r="AQ2" s="43" t="s">
        <v>252</v>
      </c>
      <c r="AR2" s="136" t="s">
        <v>408</v>
      </c>
      <c r="AS2" s="137" t="s">
        <v>240</v>
      </c>
      <c r="AT2" s="138" t="s">
        <v>444</v>
      </c>
    </row>
    <row r="3" spans="1:47" ht="35.1" customHeight="1">
      <c r="A3" s="73" t="s">
        <v>11</v>
      </c>
      <c r="B3" s="19">
        <v>1</v>
      </c>
      <c r="C3" s="5">
        <v>1</v>
      </c>
      <c r="D3" s="5">
        <v>2452304301</v>
      </c>
      <c r="E3" s="5" t="s">
        <v>382</v>
      </c>
      <c r="F3" s="5" t="s">
        <v>383</v>
      </c>
      <c r="G3" s="5" t="s">
        <v>309</v>
      </c>
      <c r="H3" s="5">
        <v>13650308</v>
      </c>
      <c r="I3" s="10">
        <v>1192</v>
      </c>
      <c r="J3" s="5" t="s">
        <v>181</v>
      </c>
      <c r="K3" s="10">
        <v>5</v>
      </c>
      <c r="L3" s="5">
        <v>2</v>
      </c>
      <c r="M3" s="5">
        <v>63605949</v>
      </c>
      <c r="N3" s="5" t="s">
        <v>64</v>
      </c>
      <c r="O3" s="5">
        <v>1</v>
      </c>
      <c r="P3" s="6">
        <v>103</v>
      </c>
      <c r="Q3" s="5">
        <v>103</v>
      </c>
      <c r="R3" s="5"/>
      <c r="S3" s="5"/>
      <c r="T3" s="7">
        <v>15</v>
      </c>
      <c r="U3" s="5" t="s">
        <v>177</v>
      </c>
      <c r="V3" s="5">
        <v>2</v>
      </c>
      <c r="W3" s="5">
        <v>14040901</v>
      </c>
      <c r="X3" s="7"/>
      <c r="Y3" s="7"/>
      <c r="Z3" s="10" t="s">
        <v>372</v>
      </c>
      <c r="AA3" s="5"/>
      <c r="AB3" s="5"/>
      <c r="AC3" s="5" t="s">
        <v>362</v>
      </c>
      <c r="AD3" s="5"/>
      <c r="AE3" s="5" t="s">
        <v>121</v>
      </c>
      <c r="AF3" s="5">
        <v>9120368906</v>
      </c>
      <c r="AG3" s="10" t="s">
        <v>417</v>
      </c>
      <c r="AH3" s="78" t="s">
        <v>12</v>
      </c>
      <c r="AI3" s="78">
        <v>0</v>
      </c>
      <c r="AJ3" s="78">
        <v>230</v>
      </c>
      <c r="AK3" s="79">
        <v>650000000</v>
      </c>
      <c r="AL3" s="78">
        <v>19</v>
      </c>
      <c r="AM3" s="80">
        <f>_xlfn.XLOOKUP(emp_info[[#This Row],[گروه شغلی]],Table7[گروه شغلی],Table7[مزد شغل])</f>
        <v>6572696</v>
      </c>
      <c r="AN3" s="78">
        <f>_xlfn.XLOOKUP(emp_info[[#This Row],[گروه شغلی]],Table7[گروه شغلی],Table7[پایه سنوات])</f>
        <v>171867</v>
      </c>
      <c r="AO3" s="78">
        <v>0</v>
      </c>
      <c r="AP3" s="81">
        <f>emp_info[[#This Row],[مزد روزانه ]]+(emp_info[[#This Row],[تعداد سال کارکرد]]*emp_info[[#This Row],[پایه سنواتی]])</f>
        <v>6572696</v>
      </c>
      <c r="AQ3" s="1" t="s">
        <v>519</v>
      </c>
      <c r="AR3" s="1">
        <v>1</v>
      </c>
      <c r="AS3" s="1">
        <v>1</v>
      </c>
      <c r="AT3" s="1">
        <v>1</v>
      </c>
      <c r="AU3" s="120"/>
    </row>
    <row r="4" spans="1:47" s="3" customFormat="1" ht="35.1" customHeight="1">
      <c r="A4" s="74"/>
      <c r="B4" s="19">
        <v>2</v>
      </c>
      <c r="C4" s="5">
        <v>1</v>
      </c>
      <c r="D4" s="5">
        <v>4260006134</v>
      </c>
      <c r="E4" s="5" t="s">
        <v>287</v>
      </c>
      <c r="F4" s="5" t="s">
        <v>374</v>
      </c>
      <c r="G4" s="5" t="s">
        <v>316</v>
      </c>
      <c r="H4" s="5">
        <v>13680301</v>
      </c>
      <c r="I4" s="10">
        <v>4260006134</v>
      </c>
      <c r="J4" s="5" t="s">
        <v>329</v>
      </c>
      <c r="K4" s="10">
        <v>3</v>
      </c>
      <c r="L4" s="5">
        <v>2</v>
      </c>
      <c r="M4" s="5">
        <v>85547385</v>
      </c>
      <c r="N4" s="5" t="s">
        <v>64</v>
      </c>
      <c r="O4" s="5">
        <v>1</v>
      </c>
      <c r="P4" s="6">
        <v>103</v>
      </c>
      <c r="Q4" s="5">
        <v>103</v>
      </c>
      <c r="R4" s="5"/>
      <c r="S4" s="5"/>
      <c r="T4" s="7">
        <v>15</v>
      </c>
      <c r="U4" s="5" t="s">
        <v>177</v>
      </c>
      <c r="V4" s="5">
        <v>2</v>
      </c>
      <c r="W4" s="5">
        <v>14040901</v>
      </c>
      <c r="X4" s="7"/>
      <c r="Y4" s="7"/>
      <c r="Z4" s="10" t="s">
        <v>371</v>
      </c>
      <c r="AA4" s="5"/>
      <c r="AB4" s="5"/>
      <c r="AC4" s="5" t="s">
        <v>375</v>
      </c>
      <c r="AD4" s="5"/>
      <c r="AE4" s="5" t="s">
        <v>121</v>
      </c>
      <c r="AF4" s="5">
        <v>0</v>
      </c>
      <c r="AG4" s="10" t="s">
        <v>418</v>
      </c>
      <c r="AH4" s="40" t="s">
        <v>13</v>
      </c>
      <c r="AI4" s="40">
        <v>0</v>
      </c>
      <c r="AJ4" s="40">
        <v>230</v>
      </c>
      <c r="AK4" s="41">
        <v>550000000</v>
      </c>
      <c r="AL4" s="40">
        <v>13</v>
      </c>
      <c r="AM4" s="42">
        <f>_xlfn.XLOOKUP(emp_info[[#This Row],[گروه شغلی]],Table7[گروه شغلی],Table7[مزد شغل])</f>
        <v>6044057</v>
      </c>
      <c r="AN4" s="40">
        <f>_xlfn.XLOOKUP(emp_info[[#This Row],[گروه شغلی]],Table7[گروه شغلی],Table7[پایه سنوات])</f>
        <v>169467</v>
      </c>
      <c r="AO4" s="40">
        <v>7</v>
      </c>
      <c r="AP4" s="56">
        <f>emp_info[[#This Row],[مزد روزانه ]]+(emp_info[[#This Row],[تعداد سال کارکرد]]*emp_info[[#This Row],[پایه سنواتی]])</f>
        <v>7230326</v>
      </c>
      <c r="AQ4" s="1" t="s">
        <v>519</v>
      </c>
      <c r="AR4" s="1">
        <v>1</v>
      </c>
      <c r="AS4" s="1">
        <v>1</v>
      </c>
      <c r="AT4" s="1">
        <v>1</v>
      </c>
    </row>
    <row r="5" spans="1:47" ht="35.1" customHeight="1">
      <c r="A5" s="74"/>
      <c r="B5" s="19">
        <v>3</v>
      </c>
      <c r="C5" s="5">
        <v>1</v>
      </c>
      <c r="D5" s="5">
        <v>2392017980</v>
      </c>
      <c r="E5" s="5" t="s">
        <v>179</v>
      </c>
      <c r="F5" s="5" t="s">
        <v>384</v>
      </c>
      <c r="G5" s="5" t="s">
        <v>305</v>
      </c>
      <c r="H5" s="5">
        <v>13641005</v>
      </c>
      <c r="I5" s="10">
        <v>1376</v>
      </c>
      <c r="J5" s="5" t="s">
        <v>317</v>
      </c>
      <c r="K5" s="10">
        <v>4</v>
      </c>
      <c r="L5" s="5">
        <v>2</v>
      </c>
      <c r="M5" s="5">
        <v>62741646</v>
      </c>
      <c r="N5" s="5" t="s">
        <v>64</v>
      </c>
      <c r="O5" s="5">
        <v>1</v>
      </c>
      <c r="P5" s="6">
        <v>103</v>
      </c>
      <c r="Q5" s="5">
        <v>103</v>
      </c>
      <c r="R5" s="5"/>
      <c r="S5" s="5"/>
      <c r="T5" s="7">
        <v>5</v>
      </c>
      <c r="U5" s="5" t="s">
        <v>353</v>
      </c>
      <c r="V5" s="5">
        <v>2</v>
      </c>
      <c r="W5" s="5">
        <v>14040901</v>
      </c>
      <c r="X5" s="7"/>
      <c r="Y5" s="7"/>
      <c r="Z5" s="10" t="s">
        <v>368</v>
      </c>
      <c r="AA5" s="5"/>
      <c r="AB5" s="5"/>
      <c r="AC5" s="5" t="s">
        <v>360</v>
      </c>
      <c r="AD5" s="5"/>
      <c r="AE5" s="5" t="s">
        <v>121</v>
      </c>
      <c r="AF5" s="5">
        <v>9176072733</v>
      </c>
      <c r="AG5" s="10" t="s">
        <v>419</v>
      </c>
      <c r="AH5" s="40" t="s">
        <v>12</v>
      </c>
      <c r="AI5" s="40">
        <v>0</v>
      </c>
      <c r="AJ5" s="40">
        <v>230</v>
      </c>
      <c r="AK5" s="41"/>
      <c r="AL5" s="40">
        <v>10</v>
      </c>
      <c r="AM5" s="42">
        <f>_xlfn.XLOOKUP(emp_info[[#This Row],[گروه شغلی]],Table7[گروه شغلی],Table7[مزد شغل])</f>
        <v>5867844</v>
      </c>
      <c r="AN5" s="40">
        <f>_xlfn.XLOOKUP(emp_info[[#This Row],[گروه شغلی]],Table7[گروه شغلی],Table7[پایه سنوات])</f>
        <v>168467</v>
      </c>
      <c r="AO5" s="40">
        <v>0</v>
      </c>
      <c r="AP5" s="56">
        <f>emp_info[[#This Row],[مزد روزانه ]]+(emp_info[[#This Row],[تعداد سال کارکرد]]*emp_info[[#This Row],[پایه سنواتی]])</f>
        <v>5867844</v>
      </c>
      <c r="AQ5" s="1" t="s">
        <v>519</v>
      </c>
      <c r="AR5" s="1">
        <v>1</v>
      </c>
      <c r="AS5" s="1">
        <v>1</v>
      </c>
      <c r="AT5" s="1">
        <v>1</v>
      </c>
    </row>
    <row r="6" spans="1:47" s="3" customFormat="1" ht="35.1" customHeight="1">
      <c r="A6" s="74"/>
      <c r="B6" s="19">
        <v>5</v>
      </c>
      <c r="C6" s="5">
        <v>1</v>
      </c>
      <c r="D6" s="5">
        <v>2380027341</v>
      </c>
      <c r="E6" s="5" t="s">
        <v>286</v>
      </c>
      <c r="F6" s="5" t="s">
        <v>330</v>
      </c>
      <c r="G6" s="5" t="s">
        <v>299</v>
      </c>
      <c r="H6" s="5">
        <v>13680608</v>
      </c>
      <c r="I6" s="10">
        <v>2380027341</v>
      </c>
      <c r="J6" s="5" t="s">
        <v>317</v>
      </c>
      <c r="K6" s="10" t="s">
        <v>364</v>
      </c>
      <c r="L6" s="5">
        <v>2</v>
      </c>
      <c r="M6" s="5">
        <v>73468271</v>
      </c>
      <c r="N6" s="5" t="s">
        <v>64</v>
      </c>
      <c r="O6" s="5">
        <v>1</v>
      </c>
      <c r="P6" s="6">
        <v>103</v>
      </c>
      <c r="Q6" s="5">
        <v>103</v>
      </c>
      <c r="R6" s="5"/>
      <c r="S6" s="5"/>
      <c r="T6" s="7">
        <v>5</v>
      </c>
      <c r="U6" s="5" t="s">
        <v>353</v>
      </c>
      <c r="V6" s="5">
        <v>2</v>
      </c>
      <c r="W6" s="5">
        <v>14040901</v>
      </c>
      <c r="X6" s="7"/>
      <c r="Y6" s="7"/>
      <c r="Z6" s="10" t="s">
        <v>368</v>
      </c>
      <c r="AA6" s="5"/>
      <c r="AB6" s="5"/>
      <c r="AC6" s="5" t="s">
        <v>358</v>
      </c>
      <c r="AD6" s="5"/>
      <c r="AE6" s="5" t="s">
        <v>121</v>
      </c>
      <c r="AF6" s="5">
        <v>9171246057</v>
      </c>
      <c r="AG6" s="10" t="s">
        <v>477</v>
      </c>
      <c r="AH6" s="40" t="s">
        <v>12</v>
      </c>
      <c r="AI6" s="40">
        <v>0</v>
      </c>
      <c r="AJ6" s="40">
        <v>230</v>
      </c>
      <c r="AK6" s="41">
        <v>600000000</v>
      </c>
      <c r="AL6" s="40">
        <v>10</v>
      </c>
      <c r="AM6" s="42">
        <f>_xlfn.XLOOKUP(emp_info[[#This Row],[گروه شغلی]],Table7[گروه شغلی],Table7[مزد شغل])</f>
        <v>5867844</v>
      </c>
      <c r="AN6" s="40">
        <f>_xlfn.XLOOKUP(emp_info[[#This Row],[گروه شغلی]],Table7[گروه شغلی],Table7[پایه سنوات])</f>
        <v>168467</v>
      </c>
      <c r="AO6" s="40">
        <v>0</v>
      </c>
      <c r="AP6" s="56">
        <f>emp_info[[#This Row],[مزد روزانه ]]+(emp_info[[#This Row],[تعداد سال کارکرد]]*emp_info[[#This Row],[پایه سنواتی]])</f>
        <v>5867844</v>
      </c>
      <c r="AQ6" s="1" t="s">
        <v>519</v>
      </c>
      <c r="AR6" s="1">
        <v>1</v>
      </c>
      <c r="AS6" s="1">
        <v>1</v>
      </c>
      <c r="AT6" s="1">
        <v>1</v>
      </c>
    </row>
    <row r="7" spans="1:47" s="3" customFormat="1" ht="35.1" customHeight="1">
      <c r="A7" s="74"/>
      <c r="B7" s="19">
        <v>6</v>
      </c>
      <c r="C7" s="5">
        <v>1</v>
      </c>
      <c r="D7" s="5">
        <v>6790051589</v>
      </c>
      <c r="E7" s="5" t="s">
        <v>288</v>
      </c>
      <c r="F7" s="5" t="s">
        <v>333</v>
      </c>
      <c r="G7" s="5" t="s">
        <v>301</v>
      </c>
      <c r="H7" s="5">
        <v>13790120</v>
      </c>
      <c r="I7" s="10">
        <v>6790051589</v>
      </c>
      <c r="J7" s="5" t="s">
        <v>181</v>
      </c>
      <c r="K7" s="10">
        <v>4</v>
      </c>
      <c r="L7" s="5">
        <v>2</v>
      </c>
      <c r="M7" s="5">
        <v>62360508</v>
      </c>
      <c r="N7" s="5" t="s">
        <v>64</v>
      </c>
      <c r="O7" s="5">
        <v>1</v>
      </c>
      <c r="P7" s="6">
        <v>103</v>
      </c>
      <c r="Q7" s="5">
        <v>103</v>
      </c>
      <c r="R7" s="5"/>
      <c r="S7" s="5"/>
      <c r="T7" s="7">
        <v>5</v>
      </c>
      <c r="U7" s="5" t="s">
        <v>353</v>
      </c>
      <c r="V7" s="5">
        <v>2</v>
      </c>
      <c r="W7" s="5">
        <v>14040901</v>
      </c>
      <c r="X7" s="7"/>
      <c r="Y7" s="7"/>
      <c r="Z7" s="10" t="s">
        <v>368</v>
      </c>
      <c r="AA7" s="5"/>
      <c r="AB7" s="5"/>
      <c r="AC7" s="5" t="s">
        <v>181</v>
      </c>
      <c r="AD7" s="5"/>
      <c r="AE7" s="5" t="s">
        <v>121</v>
      </c>
      <c r="AF7" s="5">
        <v>9172231947</v>
      </c>
      <c r="AG7" s="10" t="s">
        <v>420</v>
      </c>
      <c r="AH7" s="40" t="s">
        <v>12</v>
      </c>
      <c r="AI7" s="40">
        <v>0</v>
      </c>
      <c r="AJ7" s="40">
        <v>230</v>
      </c>
      <c r="AK7" s="41">
        <v>410000000</v>
      </c>
      <c r="AL7" s="40">
        <v>7</v>
      </c>
      <c r="AM7" s="42">
        <f>_xlfn.XLOOKUP(emp_info[[#This Row],[گروه شغلی]],Table7[گروه شغلی],Table7[مزد شغل])</f>
        <v>5726874</v>
      </c>
      <c r="AN7" s="40">
        <f>_xlfn.XLOOKUP(emp_info[[#This Row],[گروه شغلی]],Table7[گروه شغلی],Table7[پایه سنوات])</f>
        <v>167867</v>
      </c>
      <c r="AO7" s="40">
        <v>0</v>
      </c>
      <c r="AP7" s="56">
        <f>emp_info[[#This Row],[مزد روزانه ]]+(emp_info[[#This Row],[تعداد سال کارکرد]]*emp_info[[#This Row],[پایه سنواتی]])</f>
        <v>5726874</v>
      </c>
      <c r="AQ7" s="1" t="s">
        <v>519</v>
      </c>
      <c r="AR7" s="1">
        <v>1</v>
      </c>
      <c r="AS7" s="1">
        <v>1</v>
      </c>
      <c r="AT7" s="1">
        <v>1</v>
      </c>
    </row>
    <row r="8" spans="1:47" s="1" customFormat="1" ht="35.1" customHeight="1">
      <c r="A8" s="74"/>
      <c r="B8" s="19">
        <v>7</v>
      </c>
      <c r="C8" s="5">
        <v>1</v>
      </c>
      <c r="D8" s="5">
        <v>6810017488</v>
      </c>
      <c r="E8" s="5" t="s">
        <v>331</v>
      </c>
      <c r="F8" s="5" t="s">
        <v>332</v>
      </c>
      <c r="G8" s="5" t="s">
        <v>300</v>
      </c>
      <c r="H8" s="5">
        <v>13770203</v>
      </c>
      <c r="I8" s="10">
        <v>6810017488</v>
      </c>
      <c r="J8" s="5" t="s">
        <v>318</v>
      </c>
      <c r="K8" s="10">
        <v>4</v>
      </c>
      <c r="L8" s="5">
        <v>2</v>
      </c>
      <c r="M8" s="5">
        <v>11475355</v>
      </c>
      <c r="N8" s="5" t="s">
        <v>64</v>
      </c>
      <c r="O8" s="5">
        <v>1</v>
      </c>
      <c r="P8" s="6">
        <v>103</v>
      </c>
      <c r="Q8" s="5">
        <v>103</v>
      </c>
      <c r="R8" s="5"/>
      <c r="S8" s="5"/>
      <c r="T8" s="7">
        <v>2</v>
      </c>
      <c r="U8" s="5" t="s">
        <v>355</v>
      </c>
      <c r="V8" s="5">
        <v>2</v>
      </c>
      <c r="W8" s="5">
        <v>14040901</v>
      </c>
      <c r="X8" s="7"/>
      <c r="Y8" s="7"/>
      <c r="Z8" s="10" t="s">
        <v>369</v>
      </c>
      <c r="AA8" s="5"/>
      <c r="AB8" s="5"/>
      <c r="AC8" s="5" t="s">
        <v>318</v>
      </c>
      <c r="AD8" s="5"/>
      <c r="AE8" s="5" t="s">
        <v>121</v>
      </c>
      <c r="AF8" s="5">
        <v>9178041602</v>
      </c>
      <c r="AG8" s="10" t="s">
        <v>421</v>
      </c>
      <c r="AH8" s="40" t="s">
        <v>12</v>
      </c>
      <c r="AI8" s="40">
        <v>0</v>
      </c>
      <c r="AJ8" s="40">
        <v>230</v>
      </c>
      <c r="AK8" s="41">
        <v>400000000</v>
      </c>
      <c r="AL8" s="40">
        <v>10</v>
      </c>
      <c r="AM8" s="42">
        <f>_xlfn.XLOOKUP(emp_info[[#This Row],[گروه شغلی]],Table7[گروه شغلی],Table7[مزد شغل])</f>
        <v>5867844</v>
      </c>
      <c r="AN8" s="40">
        <f>_xlfn.XLOOKUP(emp_info[[#This Row],[گروه شغلی]],Table7[گروه شغلی],Table7[پایه سنوات])</f>
        <v>168467</v>
      </c>
      <c r="AO8" s="40">
        <v>0</v>
      </c>
      <c r="AP8" s="56">
        <f>emp_info[[#This Row],[مزد روزانه ]]+(emp_info[[#This Row],[تعداد سال کارکرد]]*emp_info[[#This Row],[پایه سنواتی]])</f>
        <v>5867844</v>
      </c>
      <c r="AQ8" s="1" t="s">
        <v>519</v>
      </c>
      <c r="AR8" s="1">
        <v>1</v>
      </c>
      <c r="AS8" s="1">
        <v>1</v>
      </c>
      <c r="AT8" s="1">
        <v>1</v>
      </c>
    </row>
    <row r="9" spans="1:47" s="3" customFormat="1" ht="35.1" customHeight="1">
      <c r="A9" s="74"/>
      <c r="B9" s="19">
        <v>8</v>
      </c>
      <c r="C9" s="5">
        <v>1</v>
      </c>
      <c r="D9" s="5">
        <v>1830418386</v>
      </c>
      <c r="E9" s="5" t="s">
        <v>290</v>
      </c>
      <c r="F9" s="5" t="s">
        <v>336</v>
      </c>
      <c r="G9" s="5" t="s">
        <v>306</v>
      </c>
      <c r="H9" s="5">
        <v>13750101</v>
      </c>
      <c r="I9" s="10">
        <v>1830418386</v>
      </c>
      <c r="J9" s="5" t="s">
        <v>322</v>
      </c>
      <c r="K9" s="10">
        <v>2</v>
      </c>
      <c r="L9" s="5">
        <v>2</v>
      </c>
      <c r="M9" s="5">
        <v>55132803</v>
      </c>
      <c r="N9" s="5" t="s">
        <v>64</v>
      </c>
      <c r="O9" s="5">
        <v>1</v>
      </c>
      <c r="P9" s="6">
        <v>103</v>
      </c>
      <c r="Q9" s="5">
        <v>103</v>
      </c>
      <c r="R9" s="5"/>
      <c r="S9" s="5"/>
      <c r="T9" s="7">
        <v>5</v>
      </c>
      <c r="U9" s="5" t="s">
        <v>354</v>
      </c>
      <c r="V9" s="5">
        <v>2</v>
      </c>
      <c r="W9" s="5">
        <v>14040901</v>
      </c>
      <c r="X9" s="7"/>
      <c r="Y9" s="7"/>
      <c r="Z9" s="10" t="s">
        <v>371</v>
      </c>
      <c r="AA9" s="5"/>
      <c r="AB9" s="5"/>
      <c r="AC9" s="5" t="s">
        <v>322</v>
      </c>
      <c r="AD9" s="5"/>
      <c r="AE9" s="5" t="s">
        <v>121</v>
      </c>
      <c r="AF9" s="5">
        <v>9936955240</v>
      </c>
      <c r="AG9" s="10" t="s">
        <v>422</v>
      </c>
      <c r="AH9" s="40" t="s">
        <v>13</v>
      </c>
      <c r="AI9" s="40">
        <v>0</v>
      </c>
      <c r="AJ9" s="40">
        <v>230</v>
      </c>
      <c r="AK9" s="41">
        <v>600000000</v>
      </c>
      <c r="AL9" s="40">
        <v>10</v>
      </c>
      <c r="AM9" s="42">
        <f>_xlfn.XLOOKUP(emp_info[[#This Row],[گروه شغلی]],Table7[گروه شغلی],Table7[مزد شغل])</f>
        <v>5867844</v>
      </c>
      <c r="AN9" s="40">
        <f>_xlfn.XLOOKUP(emp_info[[#This Row],[گروه شغلی]],Table7[گروه شغلی],Table7[پایه سنوات])</f>
        <v>168467</v>
      </c>
      <c r="AO9" s="40">
        <v>0</v>
      </c>
      <c r="AP9" s="56">
        <f>emp_info[[#This Row],[مزد روزانه ]]+(emp_info[[#This Row],[تعداد سال کارکرد]]*emp_info[[#This Row],[پایه سنواتی]])</f>
        <v>5867844</v>
      </c>
      <c r="AQ9" s="1" t="s">
        <v>519</v>
      </c>
      <c r="AR9" s="1">
        <v>1</v>
      </c>
      <c r="AS9" s="1">
        <v>1</v>
      </c>
      <c r="AT9" s="1">
        <v>1</v>
      </c>
    </row>
    <row r="10" spans="1:47" s="3" customFormat="1" ht="35.1" customHeight="1">
      <c r="A10" s="74"/>
      <c r="B10" s="19">
        <v>9</v>
      </c>
      <c r="C10" s="5">
        <v>1</v>
      </c>
      <c r="D10" s="5">
        <v>4660045412</v>
      </c>
      <c r="E10" s="5" t="s">
        <v>289</v>
      </c>
      <c r="F10" s="5" t="s">
        <v>336</v>
      </c>
      <c r="G10" s="5" t="s">
        <v>303</v>
      </c>
      <c r="H10" s="5">
        <v>13750101</v>
      </c>
      <c r="I10" s="10">
        <v>4660045412</v>
      </c>
      <c r="J10" s="5" t="s">
        <v>320</v>
      </c>
      <c r="K10" s="10">
        <v>2</v>
      </c>
      <c r="L10" s="5">
        <v>2</v>
      </c>
      <c r="M10" s="5">
        <v>53729609</v>
      </c>
      <c r="N10" s="5" t="s">
        <v>64</v>
      </c>
      <c r="O10" s="5">
        <v>1</v>
      </c>
      <c r="P10" s="6">
        <v>103</v>
      </c>
      <c r="Q10" s="5">
        <v>103</v>
      </c>
      <c r="R10" s="5"/>
      <c r="S10" s="5"/>
      <c r="T10" s="7">
        <v>5</v>
      </c>
      <c r="U10" s="5" t="s">
        <v>354</v>
      </c>
      <c r="V10" s="5">
        <v>2</v>
      </c>
      <c r="W10" s="5">
        <v>14040901</v>
      </c>
      <c r="X10" s="7"/>
      <c r="Y10" s="7"/>
      <c r="Z10" s="10" t="s">
        <v>371</v>
      </c>
      <c r="AA10" s="5"/>
      <c r="AB10" s="5"/>
      <c r="AC10" s="5" t="s">
        <v>359</v>
      </c>
      <c r="AD10" s="5"/>
      <c r="AE10" s="5" t="s">
        <v>121</v>
      </c>
      <c r="AF10" s="5">
        <v>9330018439</v>
      </c>
      <c r="AG10" s="10" t="s">
        <v>423</v>
      </c>
      <c r="AH10" s="40" t="s">
        <v>13</v>
      </c>
      <c r="AI10" s="40">
        <v>2</v>
      </c>
      <c r="AJ10" s="40">
        <v>230</v>
      </c>
      <c r="AK10" s="41">
        <v>570000000</v>
      </c>
      <c r="AL10" s="40">
        <v>10</v>
      </c>
      <c r="AM10" s="42">
        <f>_xlfn.XLOOKUP(emp_info[[#This Row],[گروه شغلی]],Table7[گروه شغلی],Table7[مزد شغل])</f>
        <v>5867844</v>
      </c>
      <c r="AN10" s="40">
        <f>_xlfn.XLOOKUP(emp_info[[#This Row],[گروه شغلی]],Table7[گروه شغلی],Table7[پایه سنوات])</f>
        <v>168467</v>
      </c>
      <c r="AO10" s="40">
        <v>0</v>
      </c>
      <c r="AP10" s="56">
        <f>emp_info[[#This Row],[مزد روزانه ]]+(emp_info[[#This Row],[تعداد سال کارکرد]]*emp_info[[#This Row],[پایه سنواتی]])</f>
        <v>5867844</v>
      </c>
      <c r="AQ10" s="1" t="s">
        <v>519</v>
      </c>
      <c r="AR10" s="1">
        <v>1</v>
      </c>
      <c r="AS10" s="1">
        <v>1</v>
      </c>
      <c r="AT10" s="1">
        <v>1</v>
      </c>
    </row>
    <row r="11" spans="1:47" s="3" customFormat="1" ht="35.1" customHeight="1">
      <c r="A11" s="74"/>
      <c r="B11" s="19">
        <v>10</v>
      </c>
      <c r="C11" s="5">
        <v>1</v>
      </c>
      <c r="D11" s="5">
        <v>1911058290</v>
      </c>
      <c r="E11" s="5" t="s">
        <v>291</v>
      </c>
      <c r="F11" s="5" t="s">
        <v>338</v>
      </c>
      <c r="G11" s="5" t="s">
        <v>306</v>
      </c>
      <c r="H11" s="5">
        <v>13410501</v>
      </c>
      <c r="I11" s="10">
        <v>1911058290</v>
      </c>
      <c r="J11" s="5" t="s">
        <v>323</v>
      </c>
      <c r="K11" s="10">
        <v>3</v>
      </c>
      <c r="L11" s="5">
        <v>2</v>
      </c>
      <c r="M11" s="5">
        <v>0</v>
      </c>
      <c r="N11" s="5" t="s">
        <v>64</v>
      </c>
      <c r="O11" s="5">
        <v>8</v>
      </c>
      <c r="P11" s="6">
        <v>103</v>
      </c>
      <c r="Q11" s="5">
        <v>103</v>
      </c>
      <c r="R11" s="5"/>
      <c r="S11" s="5"/>
      <c r="T11" s="7">
        <v>5</v>
      </c>
      <c r="U11" s="5" t="s">
        <v>354</v>
      </c>
      <c r="V11" s="5">
        <v>2</v>
      </c>
      <c r="W11" s="5">
        <v>14040901</v>
      </c>
      <c r="X11" s="7"/>
      <c r="Y11" s="7"/>
      <c r="Z11" s="10" t="s">
        <v>371</v>
      </c>
      <c r="AA11" s="5"/>
      <c r="AB11" s="5"/>
      <c r="AC11" s="5" t="s">
        <v>323</v>
      </c>
      <c r="AD11" s="5"/>
      <c r="AE11" s="5" t="s">
        <v>121</v>
      </c>
      <c r="AF11" s="5">
        <v>9174129746</v>
      </c>
      <c r="AG11" s="10" t="s">
        <v>442</v>
      </c>
      <c r="AH11" s="40" t="s">
        <v>13</v>
      </c>
      <c r="AI11" s="82">
        <v>4</v>
      </c>
      <c r="AJ11" s="40">
        <v>230</v>
      </c>
      <c r="AK11" s="41">
        <v>600000000</v>
      </c>
      <c r="AL11" s="40">
        <v>10</v>
      </c>
      <c r="AM11" s="42">
        <f>_xlfn.XLOOKUP(emp_info[[#This Row],[گروه شغلی]],Table7[گروه شغلی],Table7[مزد شغل])</f>
        <v>5867844</v>
      </c>
      <c r="AN11" s="40">
        <f>_xlfn.XLOOKUP(emp_info[[#This Row],[گروه شغلی]],Table7[گروه شغلی],Table7[پایه سنوات])</f>
        <v>168467</v>
      </c>
      <c r="AO11" s="40">
        <v>0</v>
      </c>
      <c r="AP11" s="56">
        <f>emp_info[[#This Row],[مزد روزانه ]]+(emp_info[[#This Row],[تعداد سال کارکرد]]*emp_info[[#This Row],[پایه سنواتی]])</f>
        <v>5867844</v>
      </c>
      <c r="AQ11" s="1" t="s">
        <v>519</v>
      </c>
      <c r="AR11" s="1">
        <v>0</v>
      </c>
      <c r="AS11" s="1">
        <v>0</v>
      </c>
      <c r="AT11" s="1">
        <v>1</v>
      </c>
    </row>
    <row r="12" spans="1:47" s="3" customFormat="1" ht="35.1" customHeight="1">
      <c r="A12" s="74"/>
      <c r="B12" s="19">
        <v>11</v>
      </c>
      <c r="C12" s="5">
        <v>1</v>
      </c>
      <c r="D12" s="5">
        <v>2360078860</v>
      </c>
      <c r="E12" s="5" t="s">
        <v>292</v>
      </c>
      <c r="F12" s="5" t="s">
        <v>339</v>
      </c>
      <c r="G12" s="5" t="s">
        <v>307</v>
      </c>
      <c r="H12" s="5">
        <v>13671223</v>
      </c>
      <c r="I12" s="10">
        <v>2360078860</v>
      </c>
      <c r="J12" s="5" t="s">
        <v>324</v>
      </c>
      <c r="K12" s="10">
        <v>2</v>
      </c>
      <c r="L12" s="5">
        <v>2</v>
      </c>
      <c r="M12" s="5">
        <v>0</v>
      </c>
      <c r="N12" s="5" t="s">
        <v>64</v>
      </c>
      <c r="O12" s="5">
        <v>1</v>
      </c>
      <c r="P12" s="6">
        <v>103</v>
      </c>
      <c r="Q12" s="5">
        <v>103</v>
      </c>
      <c r="R12" s="5"/>
      <c r="S12" s="5"/>
      <c r="T12" s="7">
        <v>5</v>
      </c>
      <c r="U12" s="5" t="s">
        <v>354</v>
      </c>
      <c r="V12" s="5">
        <v>2</v>
      </c>
      <c r="W12" s="5">
        <v>14040901</v>
      </c>
      <c r="X12" s="7"/>
      <c r="Y12" s="7"/>
      <c r="Z12" s="10" t="s">
        <v>371</v>
      </c>
      <c r="AA12" s="5"/>
      <c r="AB12" s="5"/>
      <c r="AC12" s="5" t="s">
        <v>361</v>
      </c>
      <c r="AD12" s="5"/>
      <c r="AE12" s="5" t="s">
        <v>121</v>
      </c>
      <c r="AF12" s="5">
        <v>91788381682</v>
      </c>
      <c r="AG12" s="10" t="s">
        <v>424</v>
      </c>
      <c r="AH12" s="40" t="s">
        <v>13</v>
      </c>
      <c r="AI12" s="40">
        <v>1</v>
      </c>
      <c r="AJ12" s="40">
        <v>230</v>
      </c>
      <c r="AK12" s="41">
        <v>600000000</v>
      </c>
      <c r="AL12" s="40">
        <v>10</v>
      </c>
      <c r="AM12" s="42">
        <f>_xlfn.XLOOKUP(emp_info[[#This Row],[گروه شغلی]],Table7[گروه شغلی],Table7[مزد شغل])</f>
        <v>5867844</v>
      </c>
      <c r="AN12" s="40">
        <f>_xlfn.XLOOKUP(emp_info[[#This Row],[گروه شغلی]],Table7[گروه شغلی],Table7[پایه سنوات])</f>
        <v>168467</v>
      </c>
      <c r="AO12" s="40">
        <v>0</v>
      </c>
      <c r="AP12" s="56">
        <f>emp_info[[#This Row],[مزد روزانه ]]+(emp_info[[#This Row],[تعداد سال کارکرد]]*emp_info[[#This Row],[پایه سنواتی]])</f>
        <v>5867844</v>
      </c>
      <c r="AQ12" s="1" t="s">
        <v>519</v>
      </c>
      <c r="AR12" s="1">
        <v>0</v>
      </c>
      <c r="AS12" s="1">
        <v>0</v>
      </c>
      <c r="AT12" s="1">
        <v>1</v>
      </c>
    </row>
    <row r="13" spans="1:47" s="3" customFormat="1" ht="35.1" customHeight="1">
      <c r="A13" s="74"/>
      <c r="B13" s="19">
        <v>12</v>
      </c>
      <c r="C13" s="5">
        <v>1</v>
      </c>
      <c r="D13" s="5">
        <v>2111087343</v>
      </c>
      <c r="E13" s="5" t="s">
        <v>334</v>
      </c>
      <c r="F13" s="5" t="s">
        <v>335</v>
      </c>
      <c r="G13" s="5" t="s">
        <v>302</v>
      </c>
      <c r="H13" s="5">
        <v>13830309</v>
      </c>
      <c r="I13" s="10">
        <v>2111087343</v>
      </c>
      <c r="J13" s="5" t="s">
        <v>319</v>
      </c>
      <c r="K13" s="10">
        <v>4</v>
      </c>
      <c r="L13" s="5">
        <v>2</v>
      </c>
      <c r="M13" s="5">
        <v>34389459</v>
      </c>
      <c r="N13" s="5" t="s">
        <v>64</v>
      </c>
      <c r="O13" s="5">
        <v>1</v>
      </c>
      <c r="P13" s="6">
        <v>103</v>
      </c>
      <c r="Q13" s="5">
        <v>103</v>
      </c>
      <c r="R13" s="5"/>
      <c r="S13" s="5"/>
      <c r="T13" s="7">
        <v>15</v>
      </c>
      <c r="U13" s="5" t="s">
        <v>356</v>
      </c>
      <c r="V13" s="5">
        <v>2</v>
      </c>
      <c r="W13" s="5">
        <v>14040901</v>
      </c>
      <c r="X13" s="7"/>
      <c r="Y13" s="7"/>
      <c r="Z13" s="10" t="s">
        <v>370</v>
      </c>
      <c r="AA13" s="5"/>
      <c r="AB13" s="5"/>
      <c r="AC13" s="5" t="s">
        <v>319</v>
      </c>
      <c r="AD13" s="5"/>
      <c r="AE13" s="5" t="s">
        <v>121</v>
      </c>
      <c r="AF13" s="5">
        <v>9175935387</v>
      </c>
      <c r="AG13" s="10" t="s">
        <v>425</v>
      </c>
      <c r="AH13" s="40" t="s">
        <v>12</v>
      </c>
      <c r="AI13" s="40">
        <v>0</v>
      </c>
      <c r="AJ13" s="40">
        <v>230</v>
      </c>
      <c r="AK13" s="41">
        <v>400000000</v>
      </c>
      <c r="AL13" s="40">
        <v>13</v>
      </c>
      <c r="AM13" s="42">
        <f>_xlfn.XLOOKUP(emp_info[[#This Row],[گروه شغلی]],Table7[گروه شغلی],Table7[مزد شغل])</f>
        <v>6044057</v>
      </c>
      <c r="AN13" s="40">
        <f>_xlfn.XLOOKUP(emp_info[[#This Row],[گروه شغلی]],Table7[گروه شغلی],Table7[پایه سنوات])</f>
        <v>169467</v>
      </c>
      <c r="AO13" s="40">
        <v>0</v>
      </c>
      <c r="AP13" s="56">
        <f>emp_info[[#This Row],[مزد روزانه ]]+(emp_info[[#This Row],[تعداد سال کارکرد]]*emp_info[[#This Row],[پایه سنواتی]])</f>
        <v>6044057</v>
      </c>
      <c r="AQ13" s="1" t="s">
        <v>519</v>
      </c>
      <c r="AR13" s="1">
        <v>1</v>
      </c>
      <c r="AS13" s="1">
        <v>1</v>
      </c>
      <c r="AT13" s="1">
        <v>1</v>
      </c>
    </row>
    <row r="14" spans="1:47" ht="34.5" customHeight="1">
      <c r="A14" s="74"/>
      <c r="B14" s="19">
        <v>13</v>
      </c>
      <c r="C14" s="5">
        <v>1</v>
      </c>
      <c r="D14" s="5">
        <v>2298563780</v>
      </c>
      <c r="E14" s="5" t="s">
        <v>51</v>
      </c>
      <c r="F14" s="5" t="s">
        <v>337</v>
      </c>
      <c r="G14" s="5" t="s">
        <v>304</v>
      </c>
      <c r="H14" s="5">
        <v>13591214</v>
      </c>
      <c r="I14" s="10">
        <v>1153</v>
      </c>
      <c r="J14" s="5" t="s">
        <v>321</v>
      </c>
      <c r="K14" s="10">
        <v>2</v>
      </c>
      <c r="L14" s="5">
        <v>2</v>
      </c>
      <c r="M14" s="5">
        <v>64239522</v>
      </c>
      <c r="N14" s="5" t="s">
        <v>64</v>
      </c>
      <c r="O14" s="5">
        <v>1</v>
      </c>
      <c r="P14" s="6">
        <v>103</v>
      </c>
      <c r="Q14" s="5">
        <v>103</v>
      </c>
      <c r="R14" s="5"/>
      <c r="S14" s="5"/>
      <c r="T14" s="7">
        <v>2</v>
      </c>
      <c r="U14" s="5" t="s">
        <v>355</v>
      </c>
      <c r="V14" s="5">
        <v>2</v>
      </c>
      <c r="W14" s="5">
        <v>14040901</v>
      </c>
      <c r="X14" s="7"/>
      <c r="Y14" s="7"/>
      <c r="Z14" s="10" t="s">
        <v>369</v>
      </c>
      <c r="AA14" s="5"/>
      <c r="AB14" s="5"/>
      <c r="AC14" s="5" t="s">
        <v>14</v>
      </c>
      <c r="AD14" s="5"/>
      <c r="AE14" s="5" t="s">
        <v>121</v>
      </c>
      <c r="AF14" s="5">
        <v>9174128760</v>
      </c>
      <c r="AG14" s="10" t="s">
        <v>426</v>
      </c>
      <c r="AH14" s="82" t="s">
        <v>12</v>
      </c>
      <c r="AI14" s="40">
        <v>1</v>
      </c>
      <c r="AJ14" s="40">
        <v>230</v>
      </c>
      <c r="AK14" s="41">
        <v>440000000</v>
      </c>
      <c r="AL14" s="40">
        <v>13</v>
      </c>
      <c r="AM14" s="42">
        <f>_xlfn.XLOOKUP(emp_info[[#This Row],[گروه شغلی]],Table7[گروه شغلی],Table7[مزد شغل])</f>
        <v>6044057</v>
      </c>
      <c r="AN14" s="40">
        <f>_xlfn.XLOOKUP(emp_info[[#This Row],[گروه شغلی]],Table7[گروه شغلی],Table7[پایه سنوات])</f>
        <v>169467</v>
      </c>
      <c r="AO14" s="40">
        <v>0</v>
      </c>
      <c r="AP14" s="56">
        <f>emp_info[[#This Row],[مزد روزانه ]]+(emp_info[[#This Row],[تعداد سال کارکرد]]*emp_info[[#This Row],[پایه سنواتی]])</f>
        <v>6044057</v>
      </c>
      <c r="AQ14" s="1" t="s">
        <v>519</v>
      </c>
      <c r="AR14" s="1">
        <v>1</v>
      </c>
      <c r="AS14" s="1">
        <v>1</v>
      </c>
      <c r="AT14" s="1">
        <v>1</v>
      </c>
    </row>
    <row r="15" spans="1:47" s="3" customFormat="1" ht="35.1" customHeight="1">
      <c r="A15" s="74"/>
      <c r="B15" s="19">
        <v>14</v>
      </c>
      <c r="C15" s="5">
        <v>1</v>
      </c>
      <c r="D15" s="5">
        <v>2360636391</v>
      </c>
      <c r="E15" s="5" t="s">
        <v>376</v>
      </c>
      <c r="F15" s="5" t="s">
        <v>293</v>
      </c>
      <c r="G15" s="5" t="s">
        <v>308</v>
      </c>
      <c r="H15" s="5">
        <v>13800221</v>
      </c>
      <c r="I15" s="10">
        <v>2360636391</v>
      </c>
      <c r="J15" s="5" t="s">
        <v>325</v>
      </c>
      <c r="K15" s="10">
        <v>4</v>
      </c>
      <c r="L15" s="5">
        <v>2</v>
      </c>
      <c r="M15" s="5">
        <v>96069686</v>
      </c>
      <c r="N15" s="5" t="s">
        <v>64</v>
      </c>
      <c r="O15" s="5">
        <v>1</v>
      </c>
      <c r="P15" s="6">
        <v>103</v>
      </c>
      <c r="Q15" s="5">
        <v>103</v>
      </c>
      <c r="R15" s="5"/>
      <c r="S15" s="5"/>
      <c r="T15" s="7">
        <v>5</v>
      </c>
      <c r="U15" s="5" t="s">
        <v>353</v>
      </c>
      <c r="V15" s="5">
        <v>2</v>
      </c>
      <c r="W15" s="5">
        <v>14040901</v>
      </c>
      <c r="X15" s="7"/>
      <c r="Y15" s="7"/>
      <c r="Z15" s="10" t="s">
        <v>368</v>
      </c>
      <c r="AA15" s="5"/>
      <c r="AB15" s="5"/>
      <c r="AC15" s="5" t="s">
        <v>325</v>
      </c>
      <c r="AD15" s="5"/>
      <c r="AE15" s="5" t="s">
        <v>121</v>
      </c>
      <c r="AF15" s="5">
        <v>9303469414</v>
      </c>
      <c r="AG15" s="10" t="s">
        <v>427</v>
      </c>
      <c r="AH15" s="40" t="s">
        <v>12</v>
      </c>
      <c r="AI15" s="40">
        <v>0</v>
      </c>
      <c r="AJ15" s="40">
        <v>230</v>
      </c>
      <c r="AK15" s="41">
        <v>430000000</v>
      </c>
      <c r="AL15" s="40">
        <v>7</v>
      </c>
      <c r="AM15" s="42">
        <f>_xlfn.XLOOKUP(emp_info[[#This Row],[گروه شغلی]],Table7[گروه شغلی],Table7[مزد شغل])</f>
        <v>5726874</v>
      </c>
      <c r="AN15" s="40">
        <f>_xlfn.XLOOKUP(emp_info[[#This Row],[گروه شغلی]],Table7[گروه شغلی],Table7[پایه سنوات])</f>
        <v>167867</v>
      </c>
      <c r="AO15" s="40">
        <v>0</v>
      </c>
      <c r="AP15" s="56">
        <f>emp_info[[#This Row],[مزد روزانه ]]+(emp_info[[#This Row],[تعداد سال کارکرد]]*emp_info[[#This Row],[پایه سنواتی]])</f>
        <v>5726874</v>
      </c>
      <c r="AQ15" s="1" t="s">
        <v>519</v>
      </c>
      <c r="AR15" s="1">
        <v>1</v>
      </c>
      <c r="AS15" s="1">
        <v>1</v>
      </c>
      <c r="AT15" s="1">
        <v>1</v>
      </c>
    </row>
    <row r="16" spans="1:47" s="3" customFormat="1" ht="35.1" customHeight="1">
      <c r="A16" s="74"/>
      <c r="B16" s="19">
        <v>15</v>
      </c>
      <c r="C16" s="5">
        <v>1</v>
      </c>
      <c r="D16" s="5">
        <v>2360701320</v>
      </c>
      <c r="E16" s="5" t="s">
        <v>343</v>
      </c>
      <c r="F16" s="5" t="s">
        <v>295</v>
      </c>
      <c r="G16" s="5" t="s">
        <v>311</v>
      </c>
      <c r="H16" s="5">
        <v>13811017</v>
      </c>
      <c r="I16" s="10">
        <v>2360701320</v>
      </c>
      <c r="J16" s="5" t="s">
        <v>325</v>
      </c>
      <c r="K16" s="10">
        <v>2</v>
      </c>
      <c r="L16" s="5">
        <v>2</v>
      </c>
      <c r="M16" s="5">
        <v>13983223</v>
      </c>
      <c r="N16" s="5" t="s">
        <v>64</v>
      </c>
      <c r="O16" s="5">
        <v>1</v>
      </c>
      <c r="P16" s="6">
        <v>103</v>
      </c>
      <c r="Q16" s="5">
        <v>103</v>
      </c>
      <c r="R16" s="5"/>
      <c r="S16" s="5"/>
      <c r="T16" s="7">
        <v>5</v>
      </c>
      <c r="U16" s="5" t="s">
        <v>353</v>
      </c>
      <c r="V16" s="5">
        <v>2</v>
      </c>
      <c r="W16" s="5">
        <v>14040901</v>
      </c>
      <c r="X16" s="7"/>
      <c r="Y16" s="7"/>
      <c r="Z16" s="10" t="s">
        <v>368</v>
      </c>
      <c r="AA16" s="5"/>
      <c r="AB16" s="5"/>
      <c r="AC16" s="5" t="s">
        <v>325</v>
      </c>
      <c r="AD16" s="5"/>
      <c r="AE16" s="5" t="s">
        <v>121</v>
      </c>
      <c r="AF16" s="5">
        <v>9011615228</v>
      </c>
      <c r="AG16" s="10" t="s">
        <v>428</v>
      </c>
      <c r="AH16" s="40" t="s">
        <v>12</v>
      </c>
      <c r="AI16" s="40">
        <v>0</v>
      </c>
      <c r="AJ16" s="40">
        <v>230</v>
      </c>
      <c r="AK16" s="41"/>
      <c r="AL16" s="40">
        <v>7</v>
      </c>
      <c r="AM16" s="42">
        <f>_xlfn.XLOOKUP(emp_info[[#This Row],[گروه شغلی]],Table7[گروه شغلی],Table7[مزد شغل])</f>
        <v>5726874</v>
      </c>
      <c r="AN16" s="40">
        <f>_xlfn.XLOOKUP(emp_info[[#This Row],[گروه شغلی]],Table7[گروه شغلی],Table7[پایه سنوات])</f>
        <v>167867</v>
      </c>
      <c r="AO16" s="40">
        <v>0</v>
      </c>
      <c r="AP16" s="56">
        <f>emp_info[[#This Row],[مزد روزانه ]]+(emp_info[[#This Row],[تعداد سال کارکرد]]*emp_info[[#This Row],[پایه سنواتی]])</f>
        <v>5726874</v>
      </c>
      <c r="AQ16" s="1" t="s">
        <v>519</v>
      </c>
      <c r="AR16" s="1">
        <v>1</v>
      </c>
      <c r="AS16" s="1">
        <v>1</v>
      </c>
      <c r="AT16" s="1">
        <v>1</v>
      </c>
    </row>
    <row r="17" spans="1:70" s="3" customFormat="1" ht="35.1" customHeight="1">
      <c r="A17" s="74"/>
      <c r="B17" s="19">
        <v>16</v>
      </c>
      <c r="C17" s="5">
        <v>1</v>
      </c>
      <c r="D17" s="5">
        <v>4251252772</v>
      </c>
      <c r="E17" s="5" t="s">
        <v>294</v>
      </c>
      <c r="F17" s="5" t="s">
        <v>342</v>
      </c>
      <c r="G17" s="5" t="s">
        <v>36</v>
      </c>
      <c r="H17" s="5">
        <v>13670630</v>
      </c>
      <c r="I17" s="10">
        <v>847</v>
      </c>
      <c r="J17" s="5" t="s">
        <v>326</v>
      </c>
      <c r="K17" s="10">
        <v>4</v>
      </c>
      <c r="L17" s="5">
        <v>2</v>
      </c>
      <c r="M17" s="5">
        <v>52724816</v>
      </c>
      <c r="N17" s="5" t="s">
        <v>64</v>
      </c>
      <c r="O17" s="5">
        <v>1</v>
      </c>
      <c r="P17" s="6">
        <v>103</v>
      </c>
      <c r="Q17" s="5">
        <v>103</v>
      </c>
      <c r="R17" s="5"/>
      <c r="S17" s="5"/>
      <c r="T17" s="7">
        <v>15</v>
      </c>
      <c r="U17" s="5" t="s">
        <v>357</v>
      </c>
      <c r="V17" s="5">
        <v>2</v>
      </c>
      <c r="W17" s="5">
        <v>14040901</v>
      </c>
      <c r="X17" s="7"/>
      <c r="Y17" s="7"/>
      <c r="Z17" s="10" t="s">
        <v>373</v>
      </c>
      <c r="AA17" s="5"/>
      <c r="AB17" s="5"/>
      <c r="AC17" s="5" t="s">
        <v>326</v>
      </c>
      <c r="AD17" s="5"/>
      <c r="AE17" s="5" t="s">
        <v>121</v>
      </c>
      <c r="AF17" s="5">
        <v>9015341115</v>
      </c>
      <c r="AG17" s="10" t="s">
        <v>429</v>
      </c>
      <c r="AH17" s="40" t="s">
        <v>13</v>
      </c>
      <c r="AI17" s="40">
        <v>1</v>
      </c>
      <c r="AJ17" s="40">
        <v>230</v>
      </c>
      <c r="AK17" s="41">
        <v>700000000</v>
      </c>
      <c r="AL17" s="40">
        <v>13</v>
      </c>
      <c r="AM17" s="42">
        <f>_xlfn.XLOOKUP(emp_info[[#This Row],[گروه شغلی]],Table7[گروه شغلی],Table7[مزد شغل])</f>
        <v>6044057</v>
      </c>
      <c r="AN17" s="40">
        <f>_xlfn.XLOOKUP(emp_info[[#This Row],[گروه شغلی]],Table7[گروه شغلی],Table7[پایه سنوات])</f>
        <v>169467</v>
      </c>
      <c r="AO17" s="40">
        <v>0</v>
      </c>
      <c r="AP17" s="56">
        <f>emp_info[[#This Row],[مزد روزانه ]]+(emp_info[[#This Row],[تعداد سال کارکرد]]*emp_info[[#This Row],[پایه سنواتی]])</f>
        <v>6044057</v>
      </c>
      <c r="AQ17" s="1" t="s">
        <v>519</v>
      </c>
      <c r="AR17" s="1">
        <v>1</v>
      </c>
      <c r="AS17" s="1">
        <v>1</v>
      </c>
      <c r="AT17" s="1">
        <v>1</v>
      </c>
    </row>
    <row r="18" spans="1:70" s="3" customFormat="1" ht="35.1" customHeight="1">
      <c r="A18" s="74"/>
      <c r="B18" s="19">
        <v>17</v>
      </c>
      <c r="C18" s="5">
        <v>1</v>
      </c>
      <c r="D18" s="5">
        <v>2291709615</v>
      </c>
      <c r="E18" s="5" t="s">
        <v>340</v>
      </c>
      <c r="F18" s="5" t="s">
        <v>341</v>
      </c>
      <c r="G18" s="5" t="s">
        <v>310</v>
      </c>
      <c r="H18" s="5">
        <v>13490402</v>
      </c>
      <c r="I18" s="10">
        <v>20032</v>
      </c>
      <c r="J18" s="5" t="s">
        <v>14</v>
      </c>
      <c r="K18" s="10">
        <v>2</v>
      </c>
      <c r="L18" s="5">
        <v>2</v>
      </c>
      <c r="M18" s="5">
        <v>63589851</v>
      </c>
      <c r="N18" s="5" t="s">
        <v>64</v>
      </c>
      <c r="O18" s="5">
        <v>1</v>
      </c>
      <c r="P18" s="6">
        <v>103</v>
      </c>
      <c r="Q18" s="5">
        <v>103</v>
      </c>
      <c r="R18" s="5"/>
      <c r="S18" s="5"/>
      <c r="T18" s="7">
        <v>5</v>
      </c>
      <c r="U18" s="5" t="s">
        <v>354</v>
      </c>
      <c r="V18" s="5">
        <v>2</v>
      </c>
      <c r="W18" s="5">
        <v>14040901</v>
      </c>
      <c r="X18" s="7"/>
      <c r="Y18" s="7"/>
      <c r="Z18" s="10" t="s">
        <v>371</v>
      </c>
      <c r="AA18" s="5"/>
      <c r="AB18" s="5"/>
      <c r="AC18" s="5" t="s">
        <v>14</v>
      </c>
      <c r="AD18" s="5"/>
      <c r="AE18" s="5" t="s">
        <v>121</v>
      </c>
      <c r="AF18" s="5">
        <v>9179341535</v>
      </c>
      <c r="AG18" s="10" t="s">
        <v>430</v>
      </c>
      <c r="AH18" s="40" t="s">
        <v>13</v>
      </c>
      <c r="AI18" s="40">
        <v>2</v>
      </c>
      <c r="AJ18" s="40">
        <v>230</v>
      </c>
      <c r="AK18" s="41">
        <v>520000000</v>
      </c>
      <c r="AL18" s="40">
        <v>10</v>
      </c>
      <c r="AM18" s="42">
        <f>_xlfn.XLOOKUP(emp_info[[#This Row],[گروه شغلی]],Table7[گروه شغلی],Table7[مزد شغل])</f>
        <v>5867844</v>
      </c>
      <c r="AN18" s="40">
        <f>_xlfn.XLOOKUP(emp_info[[#This Row],[گروه شغلی]],Table7[گروه شغلی],Table7[پایه سنوات])</f>
        <v>168467</v>
      </c>
      <c r="AO18" s="40">
        <v>0</v>
      </c>
      <c r="AP18" s="56">
        <f>emp_info[[#This Row],[مزد روزانه ]]+(emp_info[[#This Row],[تعداد سال کارکرد]]*emp_info[[#This Row],[پایه سنواتی]])</f>
        <v>5867844</v>
      </c>
      <c r="AQ18" s="1" t="s">
        <v>519</v>
      </c>
      <c r="AR18" s="1">
        <v>1</v>
      </c>
      <c r="AS18" s="1">
        <v>1</v>
      </c>
      <c r="AT18" s="1">
        <v>1</v>
      </c>
    </row>
    <row r="19" spans="1:70" s="3" customFormat="1" ht="35.1" customHeight="1">
      <c r="A19" s="74"/>
      <c r="B19" s="19">
        <v>18</v>
      </c>
      <c r="C19" s="5">
        <v>1</v>
      </c>
      <c r="D19" s="5">
        <v>3579980858</v>
      </c>
      <c r="E19" s="5" t="s">
        <v>179</v>
      </c>
      <c r="F19" s="5" t="s">
        <v>344</v>
      </c>
      <c r="G19" s="5" t="s">
        <v>312</v>
      </c>
      <c r="H19" s="5">
        <v>13670101</v>
      </c>
      <c r="I19" s="10">
        <v>431</v>
      </c>
      <c r="J19" s="5" t="s">
        <v>180</v>
      </c>
      <c r="K19" s="10">
        <v>2</v>
      </c>
      <c r="L19" s="5">
        <v>2</v>
      </c>
      <c r="M19" s="5">
        <v>63925210</v>
      </c>
      <c r="N19" s="5" t="s">
        <v>64</v>
      </c>
      <c r="O19" s="5">
        <v>1</v>
      </c>
      <c r="P19" s="6">
        <v>103</v>
      </c>
      <c r="Q19" s="5">
        <v>103</v>
      </c>
      <c r="R19" s="5"/>
      <c r="S19" s="5"/>
      <c r="T19" s="7">
        <v>5</v>
      </c>
      <c r="U19" s="5" t="s">
        <v>353</v>
      </c>
      <c r="V19" s="5">
        <v>2</v>
      </c>
      <c r="W19" s="5">
        <v>14040901</v>
      </c>
      <c r="X19" s="7"/>
      <c r="Y19" s="7"/>
      <c r="Z19" s="10" t="s">
        <v>368</v>
      </c>
      <c r="AA19" s="5"/>
      <c r="AB19" s="5"/>
      <c r="AC19" s="5" t="s">
        <v>180</v>
      </c>
      <c r="AD19" s="5"/>
      <c r="AE19" s="5" t="s">
        <v>121</v>
      </c>
      <c r="AF19" s="5">
        <v>9919170476</v>
      </c>
      <c r="AG19" s="10" t="s">
        <v>431</v>
      </c>
      <c r="AH19" s="40" t="s">
        <v>12</v>
      </c>
      <c r="AI19" s="40">
        <v>0</v>
      </c>
      <c r="AJ19" s="40">
        <v>230</v>
      </c>
      <c r="AK19" s="41">
        <v>400000000</v>
      </c>
      <c r="AL19" s="40">
        <v>7</v>
      </c>
      <c r="AM19" s="42">
        <f>_xlfn.XLOOKUP(emp_info[[#This Row],[گروه شغلی]],Table7[گروه شغلی],Table7[مزد شغل])</f>
        <v>5726874</v>
      </c>
      <c r="AN19" s="40">
        <f>_xlfn.XLOOKUP(emp_info[[#This Row],[گروه شغلی]],Table7[گروه شغلی],Table7[پایه سنوات])</f>
        <v>167867</v>
      </c>
      <c r="AO19" s="40">
        <v>0</v>
      </c>
      <c r="AP19" s="56">
        <f>emp_info[[#This Row],[مزد روزانه ]]+(emp_info[[#This Row],[تعداد سال کارکرد]]*emp_info[[#This Row],[پایه سنواتی]])</f>
        <v>5726874</v>
      </c>
      <c r="AQ19" s="1" t="s">
        <v>519</v>
      </c>
      <c r="AR19" s="1">
        <v>1</v>
      </c>
      <c r="AS19" s="1">
        <v>1</v>
      </c>
      <c r="AT19" s="1">
        <v>1</v>
      </c>
      <c r="AU19" s="3">
        <v>410</v>
      </c>
    </row>
    <row r="20" spans="1:70" s="3" customFormat="1" ht="35.1" customHeight="1">
      <c r="A20" s="74"/>
      <c r="B20" s="19">
        <v>19</v>
      </c>
      <c r="C20" s="5">
        <v>1</v>
      </c>
      <c r="D20" s="5">
        <v>1842016751</v>
      </c>
      <c r="E20" s="5" t="s">
        <v>296</v>
      </c>
      <c r="F20" s="5" t="s">
        <v>349</v>
      </c>
      <c r="G20" s="5" t="s">
        <v>314</v>
      </c>
      <c r="H20" s="5">
        <v>13660101</v>
      </c>
      <c r="I20" s="10">
        <v>1497</v>
      </c>
      <c r="J20" s="5" t="s">
        <v>322</v>
      </c>
      <c r="K20" s="10">
        <v>2</v>
      </c>
      <c r="L20" s="5">
        <v>2</v>
      </c>
      <c r="M20" s="5">
        <v>54271345</v>
      </c>
      <c r="N20" s="5" t="s">
        <v>64</v>
      </c>
      <c r="O20" s="5">
        <v>1</v>
      </c>
      <c r="P20" s="6">
        <v>103</v>
      </c>
      <c r="Q20" s="5">
        <v>103</v>
      </c>
      <c r="R20" s="5"/>
      <c r="S20" s="5"/>
      <c r="T20" s="7">
        <v>5</v>
      </c>
      <c r="U20" s="5" t="s">
        <v>354</v>
      </c>
      <c r="V20" s="5">
        <v>2</v>
      </c>
      <c r="W20" s="5">
        <v>14040901</v>
      </c>
      <c r="X20" s="7"/>
      <c r="Y20" s="7"/>
      <c r="Z20" s="10" t="s">
        <v>371</v>
      </c>
      <c r="AA20" s="5"/>
      <c r="AB20" s="5"/>
      <c r="AC20" s="5" t="s">
        <v>322</v>
      </c>
      <c r="AD20" s="5"/>
      <c r="AE20" s="5" t="s">
        <v>121</v>
      </c>
      <c r="AF20" s="5">
        <v>9172361225</v>
      </c>
      <c r="AG20" s="10" t="s">
        <v>432</v>
      </c>
      <c r="AH20" s="40" t="s">
        <v>13</v>
      </c>
      <c r="AI20" s="40">
        <v>1</v>
      </c>
      <c r="AJ20" s="40">
        <v>230</v>
      </c>
      <c r="AK20" s="41"/>
      <c r="AL20" s="40">
        <v>10</v>
      </c>
      <c r="AM20" s="42">
        <f>_xlfn.XLOOKUP(emp_info[[#This Row],[گروه شغلی]],Table7[گروه شغلی],Table7[مزد شغل])</f>
        <v>5867844</v>
      </c>
      <c r="AN20" s="40">
        <f>_xlfn.XLOOKUP(emp_info[[#This Row],[گروه شغلی]],Table7[گروه شغلی],Table7[پایه سنوات])</f>
        <v>168467</v>
      </c>
      <c r="AO20" s="40">
        <v>0</v>
      </c>
      <c r="AP20" s="56">
        <f>emp_info[[#This Row],[مزد روزانه ]]+(emp_info[[#This Row],[تعداد سال کارکرد]]*emp_info[[#This Row],[پایه سنواتی]])</f>
        <v>5867844</v>
      </c>
      <c r="AQ20" s="1" t="s">
        <v>519</v>
      </c>
      <c r="AR20" s="1">
        <v>1</v>
      </c>
      <c r="AS20" s="1">
        <v>1</v>
      </c>
      <c r="AT20" s="1">
        <v>1</v>
      </c>
    </row>
    <row r="21" spans="1:70" s="3" customFormat="1" ht="35.1" customHeight="1">
      <c r="A21" s="74"/>
      <c r="B21" s="19">
        <v>20</v>
      </c>
      <c r="C21" s="5">
        <v>1</v>
      </c>
      <c r="D21" s="5">
        <v>1900324776</v>
      </c>
      <c r="E21" s="5" t="s">
        <v>345</v>
      </c>
      <c r="F21" s="5" t="s">
        <v>346</v>
      </c>
      <c r="G21" s="5" t="s">
        <v>287</v>
      </c>
      <c r="H21" s="5">
        <v>13741005</v>
      </c>
      <c r="I21" s="10">
        <v>1900324776</v>
      </c>
      <c r="J21" s="5" t="s">
        <v>323</v>
      </c>
      <c r="K21" s="10">
        <v>5</v>
      </c>
      <c r="L21" s="5">
        <v>2</v>
      </c>
      <c r="M21" s="5">
        <v>57377093</v>
      </c>
      <c r="N21" s="5" t="s">
        <v>64</v>
      </c>
      <c r="O21" s="5">
        <v>1</v>
      </c>
      <c r="P21" s="6">
        <v>103</v>
      </c>
      <c r="Q21" s="5">
        <v>103</v>
      </c>
      <c r="R21" s="5"/>
      <c r="S21" s="5"/>
      <c r="T21" s="7">
        <v>15</v>
      </c>
      <c r="U21" s="5" t="s">
        <v>357</v>
      </c>
      <c r="V21" s="5">
        <v>2</v>
      </c>
      <c r="W21" s="5">
        <v>14040901</v>
      </c>
      <c r="X21" s="7"/>
      <c r="Y21" s="7"/>
      <c r="Z21" s="10" t="s">
        <v>373</v>
      </c>
      <c r="AA21" s="5"/>
      <c r="AB21" s="5"/>
      <c r="AC21" s="5" t="s">
        <v>323</v>
      </c>
      <c r="AD21" s="5"/>
      <c r="AE21" s="5" t="s">
        <v>121</v>
      </c>
      <c r="AF21" s="5">
        <v>9169136064</v>
      </c>
      <c r="AG21" s="10" t="s">
        <v>433</v>
      </c>
      <c r="AH21" s="40" t="s">
        <v>12</v>
      </c>
      <c r="AI21" s="40">
        <v>0</v>
      </c>
      <c r="AJ21" s="40">
        <v>230</v>
      </c>
      <c r="AK21" s="41">
        <v>470000000</v>
      </c>
      <c r="AL21" s="40">
        <v>13</v>
      </c>
      <c r="AM21" s="42">
        <f>_xlfn.XLOOKUP(emp_info[[#This Row],[گروه شغلی]],Table7[گروه شغلی],Table7[مزد شغل])</f>
        <v>6044057</v>
      </c>
      <c r="AN21" s="40">
        <f>_xlfn.XLOOKUP(emp_info[[#This Row],[گروه شغلی]],Table7[گروه شغلی],Table7[پایه سنوات])</f>
        <v>169467</v>
      </c>
      <c r="AO21" s="40">
        <v>0</v>
      </c>
      <c r="AP21" s="56">
        <f>emp_info[[#This Row],[مزد روزانه ]]+(emp_info[[#This Row],[تعداد سال کارکرد]]*emp_info[[#This Row],[پایه سنواتی]])</f>
        <v>6044057</v>
      </c>
      <c r="AQ21" s="1" t="s">
        <v>519</v>
      </c>
      <c r="AR21" s="1">
        <v>1</v>
      </c>
      <c r="AS21" s="1">
        <v>1</v>
      </c>
      <c r="AT21" s="1">
        <v>1</v>
      </c>
    </row>
    <row r="22" spans="1:70" s="3" customFormat="1" ht="35.1" customHeight="1">
      <c r="A22" s="74"/>
      <c r="B22" s="19">
        <v>21</v>
      </c>
      <c r="C22" s="5">
        <v>1</v>
      </c>
      <c r="D22" s="5">
        <v>4250099903</v>
      </c>
      <c r="E22" s="5" t="s">
        <v>347</v>
      </c>
      <c r="F22" s="5" t="s">
        <v>348</v>
      </c>
      <c r="G22" s="5" t="s">
        <v>313</v>
      </c>
      <c r="H22" s="5">
        <v>13590706</v>
      </c>
      <c r="I22" s="10">
        <v>262</v>
      </c>
      <c r="J22" s="5" t="s">
        <v>327</v>
      </c>
      <c r="K22" s="10">
        <v>3</v>
      </c>
      <c r="L22" s="5">
        <v>2</v>
      </c>
      <c r="M22" s="5">
        <v>83925555</v>
      </c>
      <c r="N22" s="5" t="s">
        <v>64</v>
      </c>
      <c r="O22" s="5">
        <v>1</v>
      </c>
      <c r="P22" s="6">
        <v>103</v>
      </c>
      <c r="Q22" s="5">
        <v>103</v>
      </c>
      <c r="R22" s="5"/>
      <c r="S22" s="5"/>
      <c r="T22" s="7">
        <v>5</v>
      </c>
      <c r="U22" s="5" t="s">
        <v>354</v>
      </c>
      <c r="V22" s="5">
        <v>2</v>
      </c>
      <c r="W22" s="5">
        <v>14040901</v>
      </c>
      <c r="X22" s="7"/>
      <c r="Y22" s="7"/>
      <c r="Z22" s="10" t="s">
        <v>371</v>
      </c>
      <c r="AA22" s="5"/>
      <c r="AB22" s="5"/>
      <c r="AC22" s="5" t="s">
        <v>326</v>
      </c>
      <c r="AD22" s="5"/>
      <c r="AE22" s="5" t="s">
        <v>121</v>
      </c>
      <c r="AF22" s="5">
        <v>9211671430</v>
      </c>
      <c r="AG22" s="10" t="s">
        <v>434</v>
      </c>
      <c r="AH22" s="40" t="s">
        <v>13</v>
      </c>
      <c r="AI22" s="40">
        <v>2</v>
      </c>
      <c r="AJ22" s="40">
        <v>230</v>
      </c>
      <c r="AK22" s="41">
        <v>520000000</v>
      </c>
      <c r="AL22" s="40">
        <v>10</v>
      </c>
      <c r="AM22" s="42">
        <f>_xlfn.XLOOKUP(emp_info[[#This Row],[گروه شغلی]],Table7[گروه شغلی],Table7[مزد شغل])</f>
        <v>5867844</v>
      </c>
      <c r="AN22" s="40">
        <f>_xlfn.XLOOKUP(emp_info[[#This Row],[گروه شغلی]],Table7[گروه شغلی],Table7[پایه سنوات])</f>
        <v>168467</v>
      </c>
      <c r="AO22" s="40">
        <v>0</v>
      </c>
      <c r="AP22" s="56">
        <f>emp_info[[#This Row],[مزد روزانه ]]+(emp_info[[#This Row],[تعداد سال کارکرد]]*emp_info[[#This Row],[پایه سنواتی]])</f>
        <v>5867844</v>
      </c>
      <c r="AQ22" s="1" t="s">
        <v>519</v>
      </c>
      <c r="AR22" s="1">
        <v>1</v>
      </c>
      <c r="AS22" s="1">
        <v>1</v>
      </c>
      <c r="AT22" s="1">
        <v>1</v>
      </c>
    </row>
    <row r="23" spans="1:70" s="1" customFormat="1" ht="35.1" customHeight="1">
      <c r="A23" s="75"/>
      <c r="B23" s="19">
        <v>22</v>
      </c>
      <c r="C23" s="5">
        <v>1</v>
      </c>
      <c r="D23" s="5">
        <v>2391184034</v>
      </c>
      <c r="E23" s="5" t="s">
        <v>351</v>
      </c>
      <c r="F23" s="5" t="s">
        <v>352</v>
      </c>
      <c r="G23" s="5" t="s">
        <v>315</v>
      </c>
      <c r="H23" s="5">
        <v>13480403</v>
      </c>
      <c r="I23" s="10">
        <v>1442</v>
      </c>
      <c r="J23" s="5" t="s">
        <v>317</v>
      </c>
      <c r="K23" s="10">
        <v>2</v>
      </c>
      <c r="L23" s="5">
        <v>2</v>
      </c>
      <c r="M23" s="5">
        <v>63285233</v>
      </c>
      <c r="N23" s="5" t="s">
        <v>64</v>
      </c>
      <c r="O23" s="5">
        <v>1</v>
      </c>
      <c r="P23" s="6">
        <v>103</v>
      </c>
      <c r="Q23" s="5">
        <v>103</v>
      </c>
      <c r="R23" s="5"/>
      <c r="S23" s="5"/>
      <c r="T23" s="7">
        <v>5</v>
      </c>
      <c r="U23" s="5" t="s">
        <v>354</v>
      </c>
      <c r="V23" s="5">
        <v>2</v>
      </c>
      <c r="W23" s="5">
        <v>14040901</v>
      </c>
      <c r="X23" s="7"/>
      <c r="Y23" s="7"/>
      <c r="Z23" s="10" t="s">
        <v>371</v>
      </c>
      <c r="AA23" s="5"/>
      <c r="AB23" s="5"/>
      <c r="AC23" s="5" t="s">
        <v>317</v>
      </c>
      <c r="AD23" s="5"/>
      <c r="AE23" s="5" t="s">
        <v>121</v>
      </c>
      <c r="AF23" s="5">
        <v>9963094270</v>
      </c>
      <c r="AG23" s="10" t="s">
        <v>435</v>
      </c>
      <c r="AH23" s="40" t="s">
        <v>13</v>
      </c>
      <c r="AI23" s="40">
        <v>2</v>
      </c>
      <c r="AJ23" s="40">
        <v>230</v>
      </c>
      <c r="AK23" s="41">
        <v>500000000</v>
      </c>
      <c r="AL23" s="40">
        <v>10</v>
      </c>
      <c r="AM23" s="42">
        <f>_xlfn.XLOOKUP(emp_info[[#This Row],[گروه شغلی]],Table7[گروه شغلی],Table7[مزد شغل])</f>
        <v>5867844</v>
      </c>
      <c r="AN23" s="40">
        <f>_xlfn.XLOOKUP(emp_info[[#This Row],[گروه شغلی]],Table7[گروه شغلی],Table7[پایه سنوات])</f>
        <v>168467</v>
      </c>
      <c r="AO23" s="40">
        <v>0</v>
      </c>
      <c r="AP23" s="56">
        <f>emp_info[[#This Row],[مزد روزانه ]]+(emp_info[[#This Row],[تعداد سال کارکرد]]*emp_info[[#This Row],[پایه سنواتی]])</f>
        <v>5867844</v>
      </c>
      <c r="AQ23" s="1" t="s">
        <v>519</v>
      </c>
      <c r="AR23" s="1">
        <v>1</v>
      </c>
      <c r="AS23" s="1">
        <v>1</v>
      </c>
      <c r="AT23" s="1">
        <v>1</v>
      </c>
    </row>
    <row r="24" spans="1:70" s="1" customFormat="1" ht="35.1" customHeight="1">
      <c r="A24" s="75"/>
      <c r="B24" s="19">
        <v>4</v>
      </c>
      <c r="C24" s="5">
        <v>1</v>
      </c>
      <c r="D24" s="5">
        <v>1190223074</v>
      </c>
      <c r="E24" s="5" t="s">
        <v>176</v>
      </c>
      <c r="F24" s="5" t="s">
        <v>350</v>
      </c>
      <c r="G24" s="5" t="s">
        <v>313</v>
      </c>
      <c r="H24" s="5">
        <v>13761020</v>
      </c>
      <c r="I24" s="10">
        <v>1190223074</v>
      </c>
      <c r="J24" s="5" t="s">
        <v>328</v>
      </c>
      <c r="K24" s="10">
        <v>3</v>
      </c>
      <c r="L24" s="5">
        <v>2</v>
      </c>
      <c r="M24" s="5">
        <v>54572824</v>
      </c>
      <c r="N24" s="5" t="s">
        <v>64</v>
      </c>
      <c r="O24" s="5">
        <v>1</v>
      </c>
      <c r="P24" s="6">
        <v>103</v>
      </c>
      <c r="Q24" s="5">
        <v>103</v>
      </c>
      <c r="R24" s="5"/>
      <c r="S24" s="5"/>
      <c r="T24" s="7">
        <v>5</v>
      </c>
      <c r="U24" s="5" t="s">
        <v>353</v>
      </c>
      <c r="V24" s="5">
        <v>2</v>
      </c>
      <c r="W24" s="5">
        <v>14040901</v>
      </c>
      <c r="X24" s="7"/>
      <c r="Y24" s="7"/>
      <c r="Z24" s="10" t="s">
        <v>368</v>
      </c>
      <c r="AA24" s="5"/>
      <c r="AB24" s="5"/>
      <c r="AC24" s="5" t="s">
        <v>328</v>
      </c>
      <c r="AD24" s="5"/>
      <c r="AE24" s="5" t="s">
        <v>121</v>
      </c>
      <c r="AF24" s="5">
        <v>9332447633</v>
      </c>
      <c r="AG24" s="10" t="s">
        <v>436</v>
      </c>
      <c r="AH24" s="40" t="s">
        <v>12</v>
      </c>
      <c r="AI24" s="40">
        <v>0</v>
      </c>
      <c r="AJ24" s="40">
        <v>230</v>
      </c>
      <c r="AK24" s="41">
        <v>420000000</v>
      </c>
      <c r="AL24" s="40">
        <v>7</v>
      </c>
      <c r="AM24" s="42">
        <f>_xlfn.XLOOKUP(emp_info[[#This Row],[گروه شغلی]],Table7[گروه شغلی],Table7[مزد شغل])</f>
        <v>5726874</v>
      </c>
      <c r="AN24" s="40">
        <f>_xlfn.XLOOKUP(emp_info[[#This Row],[گروه شغلی]],Table7[گروه شغلی],Table7[پایه سنوات])</f>
        <v>167867</v>
      </c>
      <c r="AO24" s="40">
        <v>0</v>
      </c>
      <c r="AP24" s="56">
        <f>emp_info[[#This Row],[مزد روزانه ]]+(emp_info[[#This Row],[تعداد سال کارکرد]]*emp_info[[#This Row],[پایه سنواتی]])</f>
        <v>5726874</v>
      </c>
      <c r="AQ24" s="1" t="s">
        <v>519</v>
      </c>
      <c r="AR24" s="1">
        <v>1</v>
      </c>
      <c r="AS24" s="1">
        <v>1</v>
      </c>
      <c r="AT24" s="1">
        <v>1</v>
      </c>
    </row>
    <row r="25" spans="1:70" s="1" customFormat="1" ht="35.1" customHeight="1">
      <c r="A25" s="75"/>
      <c r="B25" s="19">
        <v>23</v>
      </c>
      <c r="C25" s="5">
        <v>1</v>
      </c>
      <c r="D25" s="5">
        <v>6790079440</v>
      </c>
      <c r="E25" s="5" t="s">
        <v>365</v>
      </c>
      <c r="F25" s="5" t="s">
        <v>366</v>
      </c>
      <c r="G25" s="5" t="s">
        <v>367</v>
      </c>
      <c r="H25" s="5">
        <v>13821112</v>
      </c>
      <c r="I25" s="10">
        <v>6790079440</v>
      </c>
      <c r="J25" s="5" t="s">
        <v>14</v>
      </c>
      <c r="K25" s="10" t="s">
        <v>364</v>
      </c>
      <c r="L25" s="5">
        <v>2</v>
      </c>
      <c r="M25" s="5">
        <v>96070260</v>
      </c>
      <c r="N25" s="5" t="s">
        <v>64</v>
      </c>
      <c r="O25" s="5">
        <v>1</v>
      </c>
      <c r="P25" s="6">
        <v>103</v>
      </c>
      <c r="Q25" s="5">
        <v>103</v>
      </c>
      <c r="R25" s="5"/>
      <c r="S25" s="5"/>
      <c r="T25" s="7">
        <v>5</v>
      </c>
      <c r="U25" s="5" t="s">
        <v>357</v>
      </c>
      <c r="V25" s="5">
        <v>2</v>
      </c>
      <c r="W25" s="5">
        <v>14040901</v>
      </c>
      <c r="X25" s="7"/>
      <c r="Y25" s="7"/>
      <c r="Z25" s="10" t="s">
        <v>373</v>
      </c>
      <c r="AA25" s="5"/>
      <c r="AB25" s="5"/>
      <c r="AC25" s="5" t="s">
        <v>14</v>
      </c>
      <c r="AD25" s="5"/>
      <c r="AE25" s="5" t="s">
        <v>121</v>
      </c>
      <c r="AF25" s="5">
        <v>9167008298</v>
      </c>
      <c r="AG25" s="10" t="s">
        <v>443</v>
      </c>
      <c r="AH25" s="40" t="s">
        <v>12</v>
      </c>
      <c r="AI25" s="40">
        <v>0</v>
      </c>
      <c r="AJ25" s="40">
        <v>230</v>
      </c>
      <c r="AK25" s="41">
        <v>600000000</v>
      </c>
      <c r="AL25" s="40">
        <v>10</v>
      </c>
      <c r="AM25" s="42">
        <f>_xlfn.XLOOKUP(emp_info[[#This Row],[گروه شغلی]],Table7[گروه شغلی],Table7[مزد شغل])</f>
        <v>5867844</v>
      </c>
      <c r="AN25" s="40">
        <f>_xlfn.XLOOKUP(emp_info[[#This Row],[گروه شغلی]],Table7[گروه شغلی],Table7[پایه سنوات])</f>
        <v>168467</v>
      </c>
      <c r="AO25" s="40">
        <v>0</v>
      </c>
      <c r="AP25" s="56">
        <f>emp_info[[#This Row],[مزد روزانه ]]+(emp_info[[#This Row],[تعداد سال کارکرد]]*emp_info[[#This Row],[پایه سنواتی]])</f>
        <v>5867844</v>
      </c>
      <c r="AQ25" s="1" t="s">
        <v>519</v>
      </c>
      <c r="AR25" s="1">
        <v>1</v>
      </c>
      <c r="AS25" s="1">
        <v>1</v>
      </c>
      <c r="AT25" s="1">
        <v>1</v>
      </c>
    </row>
    <row r="26" spans="1:70" s="1" customFormat="1" ht="35.1" customHeight="1">
      <c r="A26" s="75"/>
      <c r="B26" s="19">
        <v>24</v>
      </c>
      <c r="C26" s="5">
        <v>1</v>
      </c>
      <c r="D26" s="5">
        <v>6639899760</v>
      </c>
      <c r="E26" s="5" t="s">
        <v>297</v>
      </c>
      <c r="F26" s="5" t="s">
        <v>298</v>
      </c>
      <c r="G26" s="5" t="s">
        <v>316</v>
      </c>
      <c r="H26" s="5">
        <v>13680301</v>
      </c>
      <c r="I26" s="10">
        <v>33</v>
      </c>
      <c r="J26" s="5" t="s">
        <v>329</v>
      </c>
      <c r="K26" s="10">
        <v>3</v>
      </c>
      <c r="L26" s="5">
        <v>2</v>
      </c>
      <c r="M26" s="5">
        <v>55036501</v>
      </c>
      <c r="N26" s="5" t="s">
        <v>64</v>
      </c>
      <c r="O26" s="5">
        <v>1</v>
      </c>
      <c r="P26" s="6">
        <v>103</v>
      </c>
      <c r="Q26" s="5">
        <v>103</v>
      </c>
      <c r="R26" s="5"/>
      <c r="S26" s="5"/>
      <c r="T26" s="7">
        <v>5</v>
      </c>
      <c r="U26" s="5" t="s">
        <v>354</v>
      </c>
      <c r="V26" s="5">
        <v>2</v>
      </c>
      <c r="W26" s="5">
        <v>14040901</v>
      </c>
      <c r="X26" s="7"/>
      <c r="Y26" s="7"/>
      <c r="Z26" s="10" t="s">
        <v>371</v>
      </c>
      <c r="AA26" s="5"/>
      <c r="AB26" s="5"/>
      <c r="AC26" s="5" t="s">
        <v>329</v>
      </c>
      <c r="AD26" s="5"/>
      <c r="AE26" s="5" t="s">
        <v>121</v>
      </c>
      <c r="AF26" s="5">
        <v>9167008298</v>
      </c>
      <c r="AG26" s="10" t="s">
        <v>437</v>
      </c>
      <c r="AH26" s="40" t="s">
        <v>13</v>
      </c>
      <c r="AI26" s="40">
        <v>0</v>
      </c>
      <c r="AJ26" s="40">
        <v>230</v>
      </c>
      <c r="AK26" s="41">
        <v>600000000</v>
      </c>
      <c r="AL26" s="40">
        <v>10</v>
      </c>
      <c r="AM26" s="42">
        <f>_xlfn.XLOOKUP(emp_info[[#This Row],[گروه شغلی]],Table7[گروه شغلی],Table7[مزد شغل])</f>
        <v>5867844</v>
      </c>
      <c r="AN26" s="40">
        <f>_xlfn.XLOOKUP(emp_info[[#This Row],[گروه شغلی]],Table7[گروه شغلی],Table7[پایه سنوات])</f>
        <v>168467</v>
      </c>
      <c r="AO26" s="40">
        <v>0</v>
      </c>
      <c r="AP26" s="56">
        <f>emp_info[[#This Row],[مزد روزانه ]]+(emp_info[[#This Row],[تعداد سال کارکرد]]*emp_info[[#This Row],[پایه سنواتی]])</f>
        <v>5867844</v>
      </c>
      <c r="AQ26" s="1" t="s">
        <v>519</v>
      </c>
      <c r="AR26" s="1">
        <v>1</v>
      </c>
      <c r="AS26" s="1">
        <v>1</v>
      </c>
      <c r="AT26" s="1">
        <v>1</v>
      </c>
    </row>
    <row r="27" spans="1:70" s="1" customFormat="1" ht="35.1" customHeight="1">
      <c r="A27" s="75"/>
      <c r="B27" s="19">
        <v>24</v>
      </c>
      <c r="C27" s="5">
        <v>1</v>
      </c>
      <c r="D27" s="5">
        <v>1743175949</v>
      </c>
      <c r="E27" s="5" t="s">
        <v>386</v>
      </c>
      <c r="F27" s="5" t="s">
        <v>479</v>
      </c>
      <c r="G27" s="5" t="s">
        <v>387</v>
      </c>
      <c r="H27" s="5">
        <v>13790130</v>
      </c>
      <c r="I27" s="10" t="s">
        <v>385</v>
      </c>
      <c r="J27" s="5" t="s">
        <v>388</v>
      </c>
      <c r="K27" s="10" t="s">
        <v>364</v>
      </c>
      <c r="L27" s="5">
        <v>2</v>
      </c>
      <c r="M27" s="5">
        <v>13993237</v>
      </c>
      <c r="N27" s="5" t="s">
        <v>64</v>
      </c>
      <c r="O27" s="5">
        <v>1</v>
      </c>
      <c r="P27" s="6">
        <v>103</v>
      </c>
      <c r="Q27" s="5">
        <v>103</v>
      </c>
      <c r="R27" s="5"/>
      <c r="S27" s="5"/>
      <c r="T27" s="7">
        <v>5</v>
      </c>
      <c r="U27" s="5" t="s">
        <v>353</v>
      </c>
      <c r="V27" s="5">
        <v>2</v>
      </c>
      <c r="W27" s="5">
        <v>14041001</v>
      </c>
      <c r="X27" s="7"/>
      <c r="Y27" s="7"/>
      <c r="Z27" s="10" t="s">
        <v>368</v>
      </c>
      <c r="AA27" s="5"/>
      <c r="AB27" s="5"/>
      <c r="AC27" s="5" t="s">
        <v>388</v>
      </c>
      <c r="AD27" s="5"/>
      <c r="AE27" s="5" t="s">
        <v>121</v>
      </c>
      <c r="AF27" s="5">
        <v>9330954008</v>
      </c>
      <c r="AG27" s="10" t="s">
        <v>438</v>
      </c>
      <c r="AH27" s="40" t="s">
        <v>12</v>
      </c>
      <c r="AI27" s="40">
        <v>0</v>
      </c>
      <c r="AJ27" s="40">
        <v>230</v>
      </c>
      <c r="AK27" s="41">
        <v>400000000</v>
      </c>
      <c r="AL27" s="40">
        <v>7</v>
      </c>
      <c r="AM27" s="42">
        <f>_xlfn.XLOOKUP(emp_info[[#This Row],[گروه شغلی]],Table7[گروه شغلی],Table7[مزد شغل])</f>
        <v>5726874</v>
      </c>
      <c r="AN27" s="40">
        <f>_xlfn.XLOOKUP(emp_info[[#This Row],[گروه شغلی]],Table7[گروه شغلی],Table7[پایه سنوات])</f>
        <v>167867</v>
      </c>
      <c r="AO27" s="40">
        <v>0</v>
      </c>
      <c r="AP27" s="56">
        <f>emp_info[[#This Row],[مزد روزانه ]]+(emp_info[[#This Row],[تعداد سال کارکرد]]*emp_info[[#This Row],[پایه سنواتی]])</f>
        <v>5726874</v>
      </c>
      <c r="AQ27" s="1" t="s">
        <v>519</v>
      </c>
      <c r="AR27" s="1">
        <v>1</v>
      </c>
      <c r="AS27" s="1">
        <v>1</v>
      </c>
      <c r="AT27" s="1">
        <v>1</v>
      </c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3"/>
      <c r="BJ27" s="3"/>
      <c r="BK27" s="3"/>
      <c r="BL27" s="3"/>
      <c r="BM27" s="3"/>
      <c r="BN27" s="3"/>
      <c r="BO27" s="3"/>
      <c r="BP27" s="3"/>
      <c r="BQ27" s="3"/>
      <c r="BR27" s="3"/>
    </row>
    <row r="28" spans="1:70" s="1" customFormat="1" ht="35.1" customHeight="1">
      <c r="A28" s="75"/>
      <c r="B28" s="19">
        <v>25</v>
      </c>
      <c r="C28" s="5">
        <v>1</v>
      </c>
      <c r="D28" s="5">
        <v>1810146224</v>
      </c>
      <c r="E28" s="5" t="s">
        <v>389</v>
      </c>
      <c r="F28" s="5" t="s">
        <v>390</v>
      </c>
      <c r="G28" s="5" t="s">
        <v>391</v>
      </c>
      <c r="H28" s="5">
        <v>13710817</v>
      </c>
      <c r="I28" s="10" t="s">
        <v>392</v>
      </c>
      <c r="J28" s="5" t="s">
        <v>393</v>
      </c>
      <c r="K28" s="10" t="s">
        <v>364</v>
      </c>
      <c r="L28" s="5">
        <v>2</v>
      </c>
      <c r="M28" s="5">
        <v>12435792</v>
      </c>
      <c r="N28" s="5" t="s">
        <v>64</v>
      </c>
      <c r="O28" s="5">
        <v>1</v>
      </c>
      <c r="P28" s="6">
        <v>103</v>
      </c>
      <c r="Q28" s="5">
        <v>103</v>
      </c>
      <c r="R28" s="5"/>
      <c r="S28" s="5"/>
      <c r="T28" s="7">
        <v>15</v>
      </c>
      <c r="U28" s="5" t="s">
        <v>357</v>
      </c>
      <c r="V28" s="5">
        <v>2</v>
      </c>
      <c r="W28" s="5">
        <v>14041001</v>
      </c>
      <c r="X28" s="7"/>
      <c r="Y28" s="7"/>
      <c r="Z28" s="10" t="s">
        <v>373</v>
      </c>
      <c r="AA28" s="5"/>
      <c r="AB28" s="5"/>
      <c r="AC28" s="5" t="s">
        <v>180</v>
      </c>
      <c r="AD28" s="5"/>
      <c r="AE28" s="5" t="s">
        <v>121</v>
      </c>
      <c r="AF28" s="5">
        <v>9164789055</v>
      </c>
      <c r="AG28" s="10" t="s">
        <v>439</v>
      </c>
      <c r="AH28" s="40" t="s">
        <v>12</v>
      </c>
      <c r="AI28" s="40">
        <v>0</v>
      </c>
      <c r="AJ28" s="40">
        <v>230</v>
      </c>
      <c r="AK28" s="41"/>
      <c r="AL28" s="40">
        <v>10</v>
      </c>
      <c r="AM28" s="42">
        <f>_xlfn.XLOOKUP(emp_info[[#This Row],[گروه شغلی]],Table7[گروه شغلی],Table7[مزد شغل])</f>
        <v>5867844</v>
      </c>
      <c r="AN28" s="40">
        <f>_xlfn.XLOOKUP(emp_info[[#This Row],[گروه شغلی]],Table7[گروه شغلی],Table7[پایه سنوات])</f>
        <v>168467</v>
      </c>
      <c r="AO28" s="40">
        <v>0</v>
      </c>
      <c r="AP28" s="56">
        <f>emp_info[[#This Row],[مزد روزانه ]]+(emp_info[[#This Row],[تعداد سال کارکرد]]*emp_info[[#This Row],[پایه سنواتی]])</f>
        <v>5867844</v>
      </c>
      <c r="AQ28" s="1" t="s">
        <v>519</v>
      </c>
      <c r="AR28" s="1">
        <v>1</v>
      </c>
      <c r="AS28" s="1">
        <v>1</v>
      </c>
      <c r="AT28" s="1">
        <v>1</v>
      </c>
      <c r="AU28"/>
      <c r="AV28"/>
      <c r="AW28"/>
      <c r="AX28"/>
      <c r="AY28"/>
      <c r="AZ28"/>
      <c r="BA28" s="11"/>
      <c r="BB28" s="2"/>
      <c r="BC28" s="2"/>
      <c r="BD28" s="2"/>
      <c r="BE28" s="2"/>
      <c r="BF28" s="2"/>
    </row>
    <row r="29" spans="1:70" s="1" customFormat="1" ht="35.1" customHeight="1">
      <c r="A29" s="75"/>
      <c r="B29" s="19">
        <v>26</v>
      </c>
      <c r="C29" s="5">
        <v>1</v>
      </c>
      <c r="D29" s="5">
        <v>4819790331</v>
      </c>
      <c r="E29" s="5" t="s">
        <v>397</v>
      </c>
      <c r="F29" s="5" t="s">
        <v>398</v>
      </c>
      <c r="G29" s="5" t="s">
        <v>399</v>
      </c>
      <c r="H29" s="5">
        <v>13300204</v>
      </c>
      <c r="I29" s="10" t="s">
        <v>400</v>
      </c>
      <c r="J29" s="5" t="s">
        <v>401</v>
      </c>
      <c r="K29" s="10" t="s">
        <v>364</v>
      </c>
      <c r="L29" s="5">
        <v>2</v>
      </c>
      <c r="M29" s="5">
        <v>0</v>
      </c>
      <c r="N29" s="5" t="s">
        <v>64</v>
      </c>
      <c r="O29" s="5">
        <v>1</v>
      </c>
      <c r="P29" s="6">
        <v>103</v>
      </c>
      <c r="Q29" s="5">
        <v>103</v>
      </c>
      <c r="R29" s="5"/>
      <c r="S29" s="5"/>
      <c r="T29" s="7">
        <v>15</v>
      </c>
      <c r="U29" s="5" t="s">
        <v>402</v>
      </c>
      <c r="V29" s="5">
        <v>2</v>
      </c>
      <c r="W29" s="5">
        <v>14040901</v>
      </c>
      <c r="X29" s="7"/>
      <c r="Y29" s="7"/>
      <c r="Z29" s="10"/>
      <c r="AA29" s="5"/>
      <c r="AB29" s="5"/>
      <c r="AC29" s="5" t="s">
        <v>403</v>
      </c>
      <c r="AD29" s="5"/>
      <c r="AE29" s="5" t="s">
        <v>121</v>
      </c>
      <c r="AF29" s="5">
        <v>9192113472</v>
      </c>
      <c r="AG29" s="10" t="s">
        <v>440</v>
      </c>
      <c r="AH29" s="40" t="s">
        <v>13</v>
      </c>
      <c r="AI29" s="40">
        <v>3</v>
      </c>
      <c r="AJ29" s="40">
        <v>140</v>
      </c>
      <c r="AK29" s="41">
        <v>1000000000</v>
      </c>
      <c r="AL29" s="40">
        <v>16</v>
      </c>
      <c r="AM29" s="42">
        <f>_xlfn.XLOOKUP(emp_info[[#This Row],[گروه شغلی]],Table7[گروه شغلی],Table7[مزد شغل])</f>
        <v>6273134</v>
      </c>
      <c r="AN29" s="40">
        <f>_xlfn.XLOOKUP(emp_info[[#This Row],[گروه شغلی]],Table7[گروه شغلی],Table7[پایه سنوات])</f>
        <v>170667</v>
      </c>
      <c r="AO29" s="40">
        <v>0</v>
      </c>
      <c r="AP29" s="56">
        <f>emp_info[[#This Row],[مزد روزانه ]]+(emp_info[[#This Row],[تعداد سال کارکرد]]*emp_info[[#This Row],[پایه سنواتی]])</f>
        <v>6273134</v>
      </c>
      <c r="AQ29" s="1" t="s">
        <v>519</v>
      </c>
      <c r="AR29" s="1">
        <v>0</v>
      </c>
      <c r="AS29" s="1">
        <v>0</v>
      </c>
      <c r="AT29" s="1">
        <v>1</v>
      </c>
    </row>
    <row r="30" spans="1:70" s="1" customFormat="1" ht="35.1" customHeight="1">
      <c r="A30" s="75"/>
      <c r="B30" s="19">
        <v>27</v>
      </c>
      <c r="C30" s="5">
        <v>1</v>
      </c>
      <c r="D30" s="5">
        <v>1911300075</v>
      </c>
      <c r="E30" s="5" t="s">
        <v>404</v>
      </c>
      <c r="F30" s="5" t="s">
        <v>398</v>
      </c>
      <c r="G30" s="5" t="s">
        <v>405</v>
      </c>
      <c r="H30" s="5">
        <v>13341006</v>
      </c>
      <c r="I30" s="10" t="s">
        <v>406</v>
      </c>
      <c r="J30" s="5" t="s">
        <v>407</v>
      </c>
      <c r="K30" s="10" t="s">
        <v>364</v>
      </c>
      <c r="L30" s="5">
        <v>2</v>
      </c>
      <c r="M30" s="5">
        <v>0</v>
      </c>
      <c r="N30" s="5" t="s">
        <v>64</v>
      </c>
      <c r="O30" s="5">
        <v>1</v>
      </c>
      <c r="P30" s="6">
        <v>103</v>
      </c>
      <c r="Q30" s="5">
        <v>103</v>
      </c>
      <c r="R30" s="5"/>
      <c r="S30" s="5"/>
      <c r="T30" s="7">
        <v>15</v>
      </c>
      <c r="U30" s="5" t="s">
        <v>402</v>
      </c>
      <c r="V30" s="5">
        <v>2</v>
      </c>
      <c r="W30" s="5">
        <v>14040901</v>
      </c>
      <c r="X30" s="7"/>
      <c r="Y30" s="7"/>
      <c r="Z30" s="10"/>
      <c r="AA30" s="5"/>
      <c r="AB30" s="5"/>
      <c r="AC30" s="5" t="s">
        <v>323</v>
      </c>
      <c r="AD30" s="5"/>
      <c r="AE30" s="5" t="s">
        <v>121</v>
      </c>
      <c r="AF30" s="5">
        <v>9123603678</v>
      </c>
      <c r="AG30" s="10" t="s">
        <v>441</v>
      </c>
      <c r="AH30" s="40" t="s">
        <v>13</v>
      </c>
      <c r="AI30" s="40">
        <v>2</v>
      </c>
      <c r="AJ30" s="40">
        <v>140</v>
      </c>
      <c r="AK30" s="41">
        <v>1000000000</v>
      </c>
      <c r="AL30" s="40">
        <v>16</v>
      </c>
      <c r="AM30" s="42">
        <f>_xlfn.XLOOKUP(emp_info[[#This Row],[گروه شغلی]],Table7[گروه شغلی],Table7[مزد شغل])</f>
        <v>6273134</v>
      </c>
      <c r="AN30" s="40">
        <f>_xlfn.XLOOKUP(emp_info[[#This Row],[گروه شغلی]],Table7[گروه شغلی],Table7[پایه سنوات])</f>
        <v>170667</v>
      </c>
      <c r="AO30" s="40">
        <v>0</v>
      </c>
      <c r="AP30" s="56">
        <f>emp_info[[#This Row],[مزد روزانه ]]+(emp_info[[#This Row],[تعداد سال کارکرد]]*emp_info[[#This Row],[پایه سنواتی]])</f>
        <v>6273134</v>
      </c>
      <c r="AQ30" s="1" t="s">
        <v>519</v>
      </c>
      <c r="AR30" s="1">
        <v>0</v>
      </c>
      <c r="AS30" s="1">
        <v>0</v>
      </c>
      <c r="AT30" s="1">
        <v>1</v>
      </c>
    </row>
    <row r="31" spans="1:70" ht="35.1" customHeight="1">
      <c r="A31" s="75"/>
      <c r="B31" s="19">
        <v>28</v>
      </c>
      <c r="C31" s="5">
        <v>1</v>
      </c>
      <c r="D31" s="5">
        <v>4680036591</v>
      </c>
      <c r="E31" s="5" t="s">
        <v>447</v>
      </c>
      <c r="F31" s="5" t="s">
        <v>448</v>
      </c>
      <c r="G31" s="5" t="s">
        <v>449</v>
      </c>
      <c r="H31" s="5">
        <v>13681019</v>
      </c>
      <c r="I31" s="10" t="s">
        <v>450</v>
      </c>
      <c r="J31" s="5" t="s">
        <v>451</v>
      </c>
      <c r="K31" s="10" t="s">
        <v>364</v>
      </c>
      <c r="L31" s="5">
        <v>2</v>
      </c>
      <c r="M31" s="5">
        <v>57805484</v>
      </c>
      <c r="N31" s="5" t="s">
        <v>64</v>
      </c>
      <c r="O31" s="5">
        <v>1</v>
      </c>
      <c r="P31" s="6">
        <v>103</v>
      </c>
      <c r="Q31" s="5">
        <v>103</v>
      </c>
      <c r="R31" s="5"/>
      <c r="S31" s="5"/>
      <c r="T31" s="7">
        <v>5</v>
      </c>
      <c r="U31" s="5" t="s">
        <v>354</v>
      </c>
      <c r="V31" s="5">
        <v>2</v>
      </c>
      <c r="W31" s="5">
        <v>14041101</v>
      </c>
      <c r="X31" s="7"/>
      <c r="Y31" s="7"/>
      <c r="Z31" s="10" t="s">
        <v>371</v>
      </c>
      <c r="AA31" s="5"/>
      <c r="AB31" s="5"/>
      <c r="AC31" s="5" t="s">
        <v>451</v>
      </c>
      <c r="AD31" s="5"/>
      <c r="AE31" s="5" t="s">
        <v>121</v>
      </c>
      <c r="AF31" s="5">
        <v>9134604155</v>
      </c>
      <c r="AG31" s="10" t="s">
        <v>542</v>
      </c>
      <c r="AH31" s="40" t="s">
        <v>13</v>
      </c>
      <c r="AI31" s="40"/>
      <c r="AJ31" s="40">
        <v>230</v>
      </c>
      <c r="AK31" s="41">
        <v>440000000</v>
      </c>
      <c r="AL31" s="40">
        <v>10</v>
      </c>
      <c r="AM31" s="42">
        <f>_xlfn.XLOOKUP(emp_info[[#This Row],[گروه شغلی]],Table7[گروه شغلی],Table7[مزد شغل])</f>
        <v>5867844</v>
      </c>
      <c r="AN31" s="40">
        <f>_xlfn.XLOOKUP(emp_info[[#This Row],[گروه شغلی]],Table7[گروه شغلی],Table7[پایه سنوات])</f>
        <v>168467</v>
      </c>
      <c r="AO31" s="40">
        <v>0</v>
      </c>
      <c r="AP31" s="56">
        <f>emp_info[[#This Row],[مزد روزانه ]]+(emp_info[[#This Row],[تعداد سال کارکرد]]*emp_info[[#This Row],[پایه سنواتی]])</f>
        <v>5867844</v>
      </c>
      <c r="AQ31" s="1" t="s">
        <v>519</v>
      </c>
      <c r="AR31" s="1">
        <v>1</v>
      </c>
      <c r="AS31" s="1">
        <v>1</v>
      </c>
      <c r="AT31" s="1">
        <v>1</v>
      </c>
    </row>
    <row r="32" spans="1:70" ht="35.1" customHeight="1">
      <c r="A32" s="75"/>
      <c r="B32" s="19">
        <v>29</v>
      </c>
      <c r="C32" s="5">
        <v>1</v>
      </c>
      <c r="D32" s="5">
        <v>1971354503</v>
      </c>
      <c r="E32" s="5" t="s">
        <v>452</v>
      </c>
      <c r="F32" s="5" t="s">
        <v>453</v>
      </c>
      <c r="G32" s="5" t="s">
        <v>454</v>
      </c>
      <c r="H32" s="5">
        <v>13450924</v>
      </c>
      <c r="I32" s="10" t="s">
        <v>455</v>
      </c>
      <c r="J32" s="5" t="s">
        <v>456</v>
      </c>
      <c r="K32" s="10" t="s">
        <v>364</v>
      </c>
      <c r="L32" s="5">
        <v>2</v>
      </c>
      <c r="M32" s="5">
        <v>85078070</v>
      </c>
      <c r="N32" s="5" t="s">
        <v>64</v>
      </c>
      <c r="O32" s="5">
        <v>1</v>
      </c>
      <c r="P32" s="6">
        <v>103</v>
      </c>
      <c r="Q32" s="5">
        <v>103</v>
      </c>
      <c r="R32" s="5"/>
      <c r="S32" s="5"/>
      <c r="T32" s="7">
        <v>5</v>
      </c>
      <c r="U32" s="5" t="s">
        <v>354</v>
      </c>
      <c r="V32" s="5">
        <v>2</v>
      </c>
      <c r="W32" s="5">
        <v>14041101</v>
      </c>
      <c r="X32" s="7"/>
      <c r="Y32" s="7"/>
      <c r="Z32" s="10" t="s">
        <v>371</v>
      </c>
      <c r="AA32" s="5"/>
      <c r="AB32" s="5"/>
      <c r="AC32" s="5" t="s">
        <v>456</v>
      </c>
      <c r="AD32" s="5"/>
      <c r="AE32" s="5" t="s">
        <v>121</v>
      </c>
      <c r="AF32" s="5">
        <v>9924606518</v>
      </c>
      <c r="AG32" s="10" t="s">
        <v>476</v>
      </c>
      <c r="AH32" s="40" t="s">
        <v>13</v>
      </c>
      <c r="AI32" s="40">
        <v>1</v>
      </c>
      <c r="AJ32" s="40">
        <v>230</v>
      </c>
      <c r="AK32" s="41">
        <v>530000000</v>
      </c>
      <c r="AL32" s="40">
        <v>13</v>
      </c>
      <c r="AM32" s="42">
        <f>_xlfn.XLOOKUP(emp_info[[#This Row],[گروه شغلی]],Table7[گروه شغلی],Table7[مزد شغل])</f>
        <v>6044057</v>
      </c>
      <c r="AN32" s="40">
        <f>_xlfn.XLOOKUP(emp_info[[#This Row],[گروه شغلی]],Table7[گروه شغلی],Table7[پایه سنوات])</f>
        <v>169467</v>
      </c>
      <c r="AO32" s="40">
        <v>0</v>
      </c>
      <c r="AP32" s="56">
        <f>emp_info[[#This Row],[مزد روزانه ]]+(emp_info[[#This Row],[تعداد سال کارکرد]]*emp_info[[#This Row],[پایه سنواتی]])</f>
        <v>6044057</v>
      </c>
      <c r="AQ32" s="1" t="s">
        <v>519</v>
      </c>
      <c r="AR32" s="1">
        <v>1</v>
      </c>
      <c r="AS32" s="1">
        <v>1</v>
      </c>
      <c r="AT32" s="1">
        <v>1</v>
      </c>
    </row>
    <row r="33" spans="2:46" ht="35.1" customHeight="1">
      <c r="B33" s="19">
        <v>30</v>
      </c>
      <c r="C33" s="5">
        <v>1</v>
      </c>
      <c r="D33" s="5">
        <v>3530185973</v>
      </c>
      <c r="E33" s="5" t="s">
        <v>457</v>
      </c>
      <c r="F33" s="5" t="s">
        <v>458</v>
      </c>
      <c r="G33" s="5" t="s">
        <v>459</v>
      </c>
      <c r="H33" s="5">
        <v>13761128</v>
      </c>
      <c r="I33" s="10">
        <v>3530185973</v>
      </c>
      <c r="J33" s="5" t="s">
        <v>460</v>
      </c>
      <c r="K33" s="10" t="s">
        <v>364</v>
      </c>
      <c r="L33" s="5">
        <v>2</v>
      </c>
      <c r="M33" s="5">
        <v>14274346</v>
      </c>
      <c r="N33" s="5" t="s">
        <v>64</v>
      </c>
      <c r="O33" s="5">
        <v>1</v>
      </c>
      <c r="P33" s="6">
        <v>103</v>
      </c>
      <c r="Q33" s="5">
        <v>103</v>
      </c>
      <c r="R33" s="5"/>
      <c r="S33" s="5"/>
      <c r="T33" s="7">
        <v>5</v>
      </c>
      <c r="U33" s="5" t="s">
        <v>353</v>
      </c>
      <c r="V33" s="5">
        <v>2</v>
      </c>
      <c r="W33" s="5">
        <v>14041101</v>
      </c>
      <c r="X33" s="7"/>
      <c r="Y33" s="7"/>
      <c r="Z33" s="10" t="s">
        <v>368</v>
      </c>
      <c r="AA33" s="5"/>
      <c r="AB33" s="5"/>
      <c r="AC33" s="5" t="s">
        <v>460</v>
      </c>
      <c r="AD33" s="5"/>
      <c r="AE33" s="5" t="s">
        <v>121</v>
      </c>
      <c r="AF33" s="5">
        <v>9176693244</v>
      </c>
      <c r="AG33" s="10" t="s">
        <v>534</v>
      </c>
      <c r="AH33" s="40" t="s">
        <v>12</v>
      </c>
      <c r="AI33" s="40"/>
      <c r="AJ33" s="40">
        <v>230</v>
      </c>
      <c r="AK33" s="41">
        <v>400000000</v>
      </c>
      <c r="AL33" s="40">
        <v>10</v>
      </c>
      <c r="AM33" s="42">
        <f>_xlfn.XLOOKUP(emp_info[[#This Row],[گروه شغلی]],Table7[گروه شغلی],Table7[مزد شغل])</f>
        <v>5867844</v>
      </c>
      <c r="AN33" s="40">
        <f>_xlfn.XLOOKUP(emp_info[[#This Row],[گروه شغلی]],Table7[گروه شغلی],Table7[پایه سنوات])</f>
        <v>168467</v>
      </c>
      <c r="AO33" s="40">
        <v>0</v>
      </c>
      <c r="AP33" s="56">
        <f>emp_info[[#This Row],[مزد روزانه ]]+(emp_info[[#This Row],[تعداد سال کارکرد]]*emp_info[[#This Row],[پایه سنواتی]])</f>
        <v>5867844</v>
      </c>
      <c r="AQ33" s="1" t="s">
        <v>519</v>
      </c>
      <c r="AR33" s="1">
        <v>1</v>
      </c>
      <c r="AS33" s="1">
        <v>1</v>
      </c>
      <c r="AT33" s="1">
        <v>1</v>
      </c>
    </row>
    <row r="34" spans="2:46" ht="35.1" customHeight="1">
      <c r="B34" s="19">
        <v>31</v>
      </c>
      <c r="C34" s="5">
        <v>1</v>
      </c>
      <c r="D34" s="5">
        <v>2360307339</v>
      </c>
      <c r="E34" s="5" t="s">
        <v>461</v>
      </c>
      <c r="F34" s="5" t="s">
        <v>462</v>
      </c>
      <c r="G34" s="5" t="s">
        <v>463</v>
      </c>
      <c r="H34" s="5">
        <v>13710613</v>
      </c>
      <c r="I34" s="10">
        <v>2360307339</v>
      </c>
      <c r="J34" s="5" t="s">
        <v>464</v>
      </c>
      <c r="K34" s="10" t="s">
        <v>364</v>
      </c>
      <c r="L34" s="5">
        <v>2</v>
      </c>
      <c r="M34" s="5">
        <v>54866354</v>
      </c>
      <c r="N34" s="5" t="s">
        <v>64</v>
      </c>
      <c r="O34" s="5">
        <v>1</v>
      </c>
      <c r="P34" s="6">
        <v>103</v>
      </c>
      <c r="Q34" s="5">
        <v>103</v>
      </c>
      <c r="R34" s="5"/>
      <c r="S34" s="5"/>
      <c r="T34" s="7">
        <v>15</v>
      </c>
      <c r="U34" s="5" t="s">
        <v>465</v>
      </c>
      <c r="V34" s="5">
        <v>2</v>
      </c>
      <c r="W34" s="5">
        <v>14041101</v>
      </c>
      <c r="X34" s="7"/>
      <c r="Y34" s="7"/>
      <c r="Z34" s="10" t="s">
        <v>373</v>
      </c>
      <c r="AA34" s="5"/>
      <c r="AB34" s="5"/>
      <c r="AC34" s="5" t="s">
        <v>464</v>
      </c>
      <c r="AD34" s="5"/>
      <c r="AE34" s="5" t="s">
        <v>121</v>
      </c>
      <c r="AF34" s="5">
        <v>9130207935</v>
      </c>
      <c r="AG34" s="10" t="s">
        <v>535</v>
      </c>
      <c r="AH34" s="40" t="s">
        <v>12</v>
      </c>
      <c r="AI34" s="40"/>
      <c r="AJ34" s="40">
        <v>230</v>
      </c>
      <c r="AK34" s="41">
        <v>500000000</v>
      </c>
      <c r="AL34" s="40">
        <v>10</v>
      </c>
      <c r="AM34" s="42">
        <f>_xlfn.XLOOKUP(emp_info[[#This Row],[گروه شغلی]],Table7[گروه شغلی],Table7[مزد شغل])</f>
        <v>5867844</v>
      </c>
      <c r="AN34" s="40">
        <f>_xlfn.XLOOKUP(emp_info[[#This Row],[گروه شغلی]],Table7[گروه شغلی],Table7[پایه سنوات])</f>
        <v>168467</v>
      </c>
      <c r="AO34" s="40">
        <v>0</v>
      </c>
      <c r="AP34" s="56">
        <f>emp_info[[#This Row],[مزد روزانه ]]+(emp_info[[#This Row],[تعداد سال کارکرد]]*emp_info[[#This Row],[پایه سنواتی]])</f>
        <v>5867844</v>
      </c>
      <c r="AQ34" s="1" t="s">
        <v>519</v>
      </c>
      <c r="AR34" s="1">
        <v>1</v>
      </c>
      <c r="AS34" s="1">
        <v>1</v>
      </c>
      <c r="AT34" s="1">
        <v>1</v>
      </c>
    </row>
    <row r="35" spans="2:46" ht="35.1" customHeight="1">
      <c r="B35" s="19">
        <v>32</v>
      </c>
      <c r="C35" s="5">
        <v>1</v>
      </c>
      <c r="D35" s="5">
        <v>2371389552</v>
      </c>
      <c r="E35" s="5" t="s">
        <v>449</v>
      </c>
      <c r="F35" s="5" t="s">
        <v>466</v>
      </c>
      <c r="G35" s="5" t="s">
        <v>467</v>
      </c>
      <c r="H35" s="5">
        <v>13560201</v>
      </c>
      <c r="I35" s="10" t="s">
        <v>468</v>
      </c>
      <c r="J35" s="5" t="s">
        <v>325</v>
      </c>
      <c r="K35" s="10" t="s">
        <v>364</v>
      </c>
      <c r="L35" s="5">
        <v>2</v>
      </c>
      <c r="M35" s="5">
        <v>54824084</v>
      </c>
      <c r="N35" s="5" t="s">
        <v>64</v>
      </c>
      <c r="O35" s="5">
        <v>1</v>
      </c>
      <c r="P35" s="6">
        <v>103</v>
      </c>
      <c r="Q35" s="5">
        <v>103</v>
      </c>
      <c r="R35" s="5"/>
      <c r="S35" s="5"/>
      <c r="T35" s="7">
        <v>5</v>
      </c>
      <c r="U35" s="5" t="s">
        <v>354</v>
      </c>
      <c r="V35" s="5">
        <v>2</v>
      </c>
      <c r="W35" s="5">
        <v>14041101</v>
      </c>
      <c r="X35" s="7"/>
      <c r="Y35" s="7"/>
      <c r="Z35" s="10" t="s">
        <v>371</v>
      </c>
      <c r="AA35" s="5"/>
      <c r="AB35" s="5"/>
      <c r="AC35" s="5" t="s">
        <v>325</v>
      </c>
      <c r="AD35" s="5"/>
      <c r="AE35" s="5" t="s">
        <v>121</v>
      </c>
      <c r="AF35" s="5">
        <v>9371730842</v>
      </c>
      <c r="AG35" s="10" t="s">
        <v>536</v>
      </c>
      <c r="AH35" s="40" t="s">
        <v>12</v>
      </c>
      <c r="AI35" s="40"/>
      <c r="AJ35" s="40">
        <v>230</v>
      </c>
      <c r="AK35" s="41"/>
      <c r="AL35" s="40">
        <v>13</v>
      </c>
      <c r="AM35" s="42">
        <f>_xlfn.XLOOKUP(emp_info[[#This Row],[گروه شغلی]],Table7[گروه شغلی],Table7[مزد شغل])</f>
        <v>6044057</v>
      </c>
      <c r="AN35" s="40">
        <f>_xlfn.XLOOKUP(emp_info[[#This Row],[گروه شغلی]],Table7[گروه شغلی],Table7[پایه سنوات])</f>
        <v>169467</v>
      </c>
      <c r="AO35" s="40">
        <v>0</v>
      </c>
      <c r="AP35" s="56">
        <f>emp_info[[#This Row],[مزد روزانه ]]+(emp_info[[#This Row],[تعداد سال کارکرد]]*emp_info[[#This Row],[پایه سنواتی]])</f>
        <v>6044057</v>
      </c>
      <c r="AQ35" s="1" t="s">
        <v>519</v>
      </c>
      <c r="AR35" s="1">
        <v>1</v>
      </c>
      <c r="AS35" s="1">
        <v>1</v>
      </c>
      <c r="AT35" s="1">
        <v>1</v>
      </c>
    </row>
    <row r="36" spans="2:46" ht="35.1" customHeight="1">
      <c r="B36" s="19">
        <v>33</v>
      </c>
      <c r="C36" s="5">
        <v>1</v>
      </c>
      <c r="D36" s="5">
        <v>2301405461</v>
      </c>
      <c r="E36" s="5" t="s">
        <v>457</v>
      </c>
      <c r="F36" s="5" t="s">
        <v>469</v>
      </c>
      <c r="G36" s="5" t="s">
        <v>470</v>
      </c>
      <c r="H36" s="5">
        <v>13640630</v>
      </c>
      <c r="I36" s="10" t="s">
        <v>471</v>
      </c>
      <c r="J36" s="5" t="s">
        <v>472</v>
      </c>
      <c r="K36" s="10" t="s">
        <v>473</v>
      </c>
      <c r="L36" s="5">
        <v>2</v>
      </c>
      <c r="M36" s="5">
        <v>14274347</v>
      </c>
      <c r="N36" s="5" t="s">
        <v>64</v>
      </c>
      <c r="O36" s="5">
        <v>1</v>
      </c>
      <c r="P36" s="6">
        <v>103</v>
      </c>
      <c r="Q36" s="5">
        <v>103</v>
      </c>
      <c r="R36" s="5"/>
      <c r="S36" s="5"/>
      <c r="T36" s="7">
        <v>5</v>
      </c>
      <c r="U36" s="5" t="s">
        <v>353</v>
      </c>
      <c r="V36" s="5">
        <v>2</v>
      </c>
      <c r="W36" s="5">
        <v>14041101</v>
      </c>
      <c r="X36" s="7"/>
      <c r="Y36" s="7"/>
      <c r="Z36" s="10" t="s">
        <v>368</v>
      </c>
      <c r="AA36" s="5"/>
      <c r="AB36" s="5"/>
      <c r="AC36" s="5" t="s">
        <v>472</v>
      </c>
      <c r="AD36" s="5"/>
      <c r="AE36" s="5" t="s">
        <v>121</v>
      </c>
      <c r="AF36" s="5">
        <v>9398705446</v>
      </c>
      <c r="AG36" s="10" t="s">
        <v>537</v>
      </c>
      <c r="AH36" s="40" t="s">
        <v>12</v>
      </c>
      <c r="AI36" s="40"/>
      <c r="AJ36" s="40">
        <v>230</v>
      </c>
      <c r="AK36" s="41">
        <v>392000000</v>
      </c>
      <c r="AL36" s="40">
        <v>10</v>
      </c>
      <c r="AM36" s="42">
        <f>_xlfn.XLOOKUP(emp_info[[#This Row],[گروه شغلی]],Table7[گروه شغلی],Table7[مزد شغل])</f>
        <v>5867844</v>
      </c>
      <c r="AN36" s="40">
        <f>_xlfn.XLOOKUP(emp_info[[#This Row],[گروه شغلی]],Table7[گروه شغلی],Table7[پایه سنوات])</f>
        <v>168467</v>
      </c>
      <c r="AO36" s="40">
        <v>0</v>
      </c>
      <c r="AP36" s="56">
        <f>emp_info[[#This Row],[مزد روزانه ]]+(emp_info[[#This Row],[تعداد سال کارکرد]]*emp_info[[#This Row],[پایه سنواتی]])</f>
        <v>5867844</v>
      </c>
      <c r="AQ36" s="1" t="s">
        <v>519</v>
      </c>
      <c r="AR36" s="1">
        <v>1</v>
      </c>
      <c r="AS36" s="1">
        <v>1</v>
      </c>
      <c r="AT36" s="1">
        <v>1</v>
      </c>
    </row>
    <row r="37" spans="2:46" ht="35.1" customHeight="1">
      <c r="B37" s="19">
        <v>34</v>
      </c>
      <c r="C37" s="5">
        <v>1</v>
      </c>
      <c r="D37" s="5">
        <v>2440057436</v>
      </c>
      <c r="E37" s="5" t="s">
        <v>457</v>
      </c>
      <c r="F37" s="5" t="s">
        <v>474</v>
      </c>
      <c r="G37" s="5" t="s">
        <v>312</v>
      </c>
      <c r="H37" s="5">
        <v>13680101</v>
      </c>
      <c r="I37" s="10" t="s">
        <v>475</v>
      </c>
      <c r="J37" s="5" t="s">
        <v>181</v>
      </c>
      <c r="K37" s="10" t="s">
        <v>364</v>
      </c>
      <c r="L37" s="5">
        <v>2</v>
      </c>
      <c r="M37" s="5">
        <v>63970636</v>
      </c>
      <c r="N37" s="5" t="s">
        <v>64</v>
      </c>
      <c r="O37" s="5">
        <v>1</v>
      </c>
      <c r="P37" s="6">
        <v>103</v>
      </c>
      <c r="Q37" s="5">
        <v>103</v>
      </c>
      <c r="R37" s="5"/>
      <c r="S37" s="5"/>
      <c r="T37" s="7">
        <v>5</v>
      </c>
      <c r="U37" s="5" t="s">
        <v>353</v>
      </c>
      <c r="V37" s="5">
        <v>2</v>
      </c>
      <c r="W37" s="5">
        <v>14041101</v>
      </c>
      <c r="X37" s="7"/>
      <c r="Y37" s="7"/>
      <c r="Z37" s="10" t="s">
        <v>368</v>
      </c>
      <c r="AA37" s="5"/>
      <c r="AB37" s="5"/>
      <c r="AC37" s="5" t="s">
        <v>181</v>
      </c>
      <c r="AD37" s="5"/>
      <c r="AE37" s="5" t="s">
        <v>121</v>
      </c>
      <c r="AF37" s="5">
        <v>9165514178</v>
      </c>
      <c r="AG37" s="10" t="s">
        <v>538</v>
      </c>
      <c r="AH37" s="40" t="s">
        <v>12</v>
      </c>
      <c r="AI37" s="40"/>
      <c r="AJ37" s="40">
        <v>230</v>
      </c>
      <c r="AK37" s="41">
        <v>392000000</v>
      </c>
      <c r="AL37" s="40">
        <v>10</v>
      </c>
      <c r="AM37" s="42">
        <f>_xlfn.XLOOKUP(emp_info[[#This Row],[گروه شغلی]],Table7[گروه شغلی],Table7[مزد شغل])</f>
        <v>5867844</v>
      </c>
      <c r="AN37" s="40">
        <f>_xlfn.XLOOKUP(emp_info[[#This Row],[گروه شغلی]],Table7[گروه شغلی],Table7[پایه سنوات])</f>
        <v>168467</v>
      </c>
      <c r="AO37" s="40">
        <v>0</v>
      </c>
      <c r="AP37" s="56">
        <f>emp_info[[#This Row],[مزد روزانه ]]+(emp_info[[#This Row],[تعداد سال کارکرد]]*emp_info[[#This Row],[پایه سنواتی]])</f>
        <v>5867844</v>
      </c>
      <c r="AQ37" s="1" t="s">
        <v>519</v>
      </c>
      <c r="AR37" s="1">
        <v>1</v>
      </c>
      <c r="AS37" s="1">
        <v>1</v>
      </c>
      <c r="AT37" s="1">
        <v>1</v>
      </c>
    </row>
    <row r="38" spans="2:46" ht="35.1" customHeight="1">
      <c r="B38" s="19">
        <v>35</v>
      </c>
      <c r="C38" s="5">
        <v>1</v>
      </c>
      <c r="D38" s="5">
        <v>6810067541</v>
      </c>
      <c r="E38" s="5" t="s">
        <v>382</v>
      </c>
      <c r="F38" s="5" t="s">
        <v>390</v>
      </c>
      <c r="G38" s="5" t="s">
        <v>485</v>
      </c>
      <c r="H38" s="5">
        <v>13840211</v>
      </c>
      <c r="I38" s="10" t="s">
        <v>484</v>
      </c>
      <c r="J38" s="5" t="s">
        <v>483</v>
      </c>
      <c r="K38" s="10" t="s">
        <v>364</v>
      </c>
      <c r="L38" s="5">
        <v>2</v>
      </c>
      <c r="M38" s="5">
        <v>13963489</v>
      </c>
      <c r="N38" s="5" t="s">
        <v>64</v>
      </c>
      <c r="O38" s="5">
        <v>1</v>
      </c>
      <c r="P38" s="6">
        <v>103</v>
      </c>
      <c r="Q38" s="5">
        <v>103</v>
      </c>
      <c r="R38" s="5"/>
      <c r="S38" s="5"/>
      <c r="T38" s="7">
        <v>5</v>
      </c>
      <c r="U38" s="5" t="s">
        <v>353</v>
      </c>
      <c r="V38" s="5">
        <v>2</v>
      </c>
      <c r="W38" s="5">
        <v>14041201</v>
      </c>
      <c r="X38" s="7"/>
      <c r="Y38" s="7"/>
      <c r="Z38" s="10" t="s">
        <v>368</v>
      </c>
      <c r="AA38" s="5"/>
      <c r="AB38" s="5"/>
      <c r="AC38" s="5" t="s">
        <v>483</v>
      </c>
      <c r="AD38" s="5"/>
      <c r="AE38" s="5" t="s">
        <v>121</v>
      </c>
      <c r="AF38" s="5"/>
      <c r="AG38" s="10" t="s">
        <v>539</v>
      </c>
      <c r="AH38" s="40" t="s">
        <v>12</v>
      </c>
      <c r="AI38" s="40">
        <v>0</v>
      </c>
      <c r="AJ38" s="40">
        <v>230</v>
      </c>
      <c r="AK38" s="41"/>
      <c r="AL38" s="40">
        <v>10</v>
      </c>
      <c r="AM38" s="42">
        <f>_xlfn.XLOOKUP(emp_info[[#This Row],[گروه شغلی]],Table7[گروه شغلی],Table7[مزد شغل])</f>
        <v>5867844</v>
      </c>
      <c r="AN38" s="40">
        <f>_xlfn.XLOOKUP(emp_info[[#This Row],[گروه شغلی]],Table7[گروه شغلی],Table7[پایه سنوات])</f>
        <v>168467</v>
      </c>
      <c r="AO38" s="40">
        <v>0</v>
      </c>
      <c r="AP38" s="56">
        <f>emp_info[[#This Row],[مزد روزانه ]]+(emp_info[[#This Row],[تعداد سال کارکرد]]*emp_info[[#This Row],[پایه سنواتی]])</f>
        <v>5867844</v>
      </c>
      <c r="AQ38" s="1" t="s">
        <v>519</v>
      </c>
      <c r="AR38" s="1">
        <v>1</v>
      </c>
      <c r="AS38" s="1">
        <v>1</v>
      </c>
      <c r="AT38" s="1">
        <v>1</v>
      </c>
    </row>
    <row r="39" spans="2:46" ht="35.1" customHeight="1">
      <c r="B39" s="19">
        <v>36</v>
      </c>
      <c r="C39" s="5">
        <v>1</v>
      </c>
      <c r="D39" s="5">
        <v>2280654644</v>
      </c>
      <c r="E39" s="5" t="s">
        <v>292</v>
      </c>
      <c r="F39" s="5" t="s">
        <v>366</v>
      </c>
      <c r="G39" s="5" t="s">
        <v>481</v>
      </c>
      <c r="H39" s="5">
        <v>13690926</v>
      </c>
      <c r="I39" s="10" t="s">
        <v>482</v>
      </c>
      <c r="J39" s="5" t="s">
        <v>14</v>
      </c>
      <c r="K39" s="10" t="s">
        <v>364</v>
      </c>
      <c r="L39" s="5">
        <v>2</v>
      </c>
      <c r="M39" s="5">
        <v>54876438</v>
      </c>
      <c r="N39" s="5" t="s">
        <v>64</v>
      </c>
      <c r="O39" s="5">
        <v>1</v>
      </c>
      <c r="P39" s="6">
        <v>103</v>
      </c>
      <c r="Q39" s="5">
        <v>103</v>
      </c>
      <c r="R39" s="5"/>
      <c r="S39" s="5"/>
      <c r="T39" s="7">
        <v>5</v>
      </c>
      <c r="U39" s="5" t="s">
        <v>353</v>
      </c>
      <c r="V39" s="5">
        <v>2</v>
      </c>
      <c r="W39" s="5">
        <v>14041201</v>
      </c>
      <c r="X39" s="7"/>
      <c r="Y39" s="7"/>
      <c r="Z39" s="10" t="s">
        <v>368</v>
      </c>
      <c r="AA39" s="5"/>
      <c r="AB39" s="5"/>
      <c r="AC39" s="5" t="s">
        <v>14</v>
      </c>
      <c r="AD39" s="5"/>
      <c r="AE39" s="5" t="s">
        <v>121</v>
      </c>
      <c r="AF39" s="5"/>
      <c r="AG39" s="10" t="s">
        <v>540</v>
      </c>
      <c r="AH39" s="40" t="s">
        <v>12</v>
      </c>
      <c r="AI39" s="40">
        <v>0</v>
      </c>
      <c r="AJ39" s="40">
        <v>230</v>
      </c>
      <c r="AK39" s="41">
        <v>450000000</v>
      </c>
      <c r="AL39" s="40">
        <v>10</v>
      </c>
      <c r="AM39" s="42">
        <f>_xlfn.XLOOKUP(emp_info[[#This Row],[گروه شغلی]],Table7[گروه شغلی],Table7[مزد شغل])</f>
        <v>5867844</v>
      </c>
      <c r="AN39" s="40">
        <f>_xlfn.XLOOKUP(emp_info[[#This Row],[گروه شغلی]],Table7[گروه شغلی],Table7[پایه سنوات])</f>
        <v>168467</v>
      </c>
      <c r="AO39" s="40">
        <v>0</v>
      </c>
      <c r="AP39" s="56">
        <f>emp_info[[#This Row],[مزد روزانه ]]+(emp_info[[#This Row],[تعداد سال کارکرد]]*emp_info[[#This Row],[پایه سنواتی]])</f>
        <v>5867844</v>
      </c>
      <c r="AQ39" s="1" t="s">
        <v>519</v>
      </c>
      <c r="AR39" s="1">
        <v>1</v>
      </c>
      <c r="AS39" s="1">
        <v>1</v>
      </c>
      <c r="AT39" s="1">
        <v>1</v>
      </c>
    </row>
    <row r="40" spans="2:46" ht="35.1" customHeight="1">
      <c r="B40" s="19">
        <v>37</v>
      </c>
      <c r="C40" s="5">
        <v>1</v>
      </c>
      <c r="D40" s="5">
        <v>2380305331</v>
      </c>
      <c r="E40" s="5" t="s">
        <v>290</v>
      </c>
      <c r="F40" s="5" t="s">
        <v>480</v>
      </c>
      <c r="G40" s="5" t="s">
        <v>51</v>
      </c>
      <c r="H40" s="5">
        <v>13740325</v>
      </c>
      <c r="I40" s="10">
        <v>2380305331</v>
      </c>
      <c r="J40" s="5" t="s">
        <v>325</v>
      </c>
      <c r="K40" s="10" t="s">
        <v>364</v>
      </c>
      <c r="L40" s="5">
        <v>2</v>
      </c>
      <c r="M40" s="5">
        <v>63767239</v>
      </c>
      <c r="N40" s="5" t="s">
        <v>64</v>
      </c>
      <c r="O40" s="5">
        <v>1</v>
      </c>
      <c r="P40" s="6">
        <v>103</v>
      </c>
      <c r="Q40" s="5">
        <v>103</v>
      </c>
      <c r="R40" s="5"/>
      <c r="S40" s="5"/>
      <c r="T40" s="7">
        <v>5</v>
      </c>
      <c r="U40" s="5" t="s">
        <v>353</v>
      </c>
      <c r="V40" s="5">
        <v>2</v>
      </c>
      <c r="W40" s="5">
        <v>14041201</v>
      </c>
      <c r="X40" s="7"/>
      <c r="Y40" s="7"/>
      <c r="Z40" s="10" t="s">
        <v>368</v>
      </c>
      <c r="AA40" s="5"/>
      <c r="AB40" s="5"/>
      <c r="AC40" s="5" t="s">
        <v>325</v>
      </c>
      <c r="AD40" s="5"/>
      <c r="AE40" s="5" t="s">
        <v>121</v>
      </c>
      <c r="AF40" s="5"/>
      <c r="AG40" s="10" t="s">
        <v>541</v>
      </c>
      <c r="AH40" s="40" t="s">
        <v>13</v>
      </c>
      <c r="AI40" s="40">
        <v>1</v>
      </c>
      <c r="AJ40" s="40">
        <v>230</v>
      </c>
      <c r="AK40" s="41">
        <v>400000000</v>
      </c>
      <c r="AL40" s="40">
        <v>10</v>
      </c>
      <c r="AM40" s="42">
        <f>_xlfn.XLOOKUP(emp_info[[#This Row],[گروه شغلی]],Table7[گروه شغلی],Table7[مزد شغل])</f>
        <v>5867844</v>
      </c>
      <c r="AN40" s="40">
        <f>_xlfn.XLOOKUP(emp_info[[#This Row],[گروه شغلی]],Table7[گروه شغلی],Table7[پایه سنوات])</f>
        <v>168467</v>
      </c>
      <c r="AO40" s="40">
        <v>0</v>
      </c>
      <c r="AP40" s="56">
        <f>emp_info[[#This Row],[مزد روزانه ]]+(emp_info[[#This Row],[تعداد سال کارکرد]]*emp_info[[#This Row],[پایه سنواتی]])</f>
        <v>5867844</v>
      </c>
      <c r="AQ40" s="1" t="s">
        <v>519</v>
      </c>
      <c r="AR40" s="1">
        <v>1</v>
      </c>
      <c r="AS40" s="1">
        <v>1</v>
      </c>
      <c r="AT40" s="1">
        <v>1</v>
      </c>
    </row>
    <row r="41" spans="2:46" ht="35.1" customHeight="1">
      <c r="B41" s="19">
        <v>38</v>
      </c>
      <c r="C41" s="5">
        <v>1</v>
      </c>
      <c r="D41" s="5">
        <v>3560162785</v>
      </c>
      <c r="E41" s="5" t="s">
        <v>520</v>
      </c>
      <c r="F41" s="5" t="s">
        <v>390</v>
      </c>
      <c r="G41" s="5" t="s">
        <v>521</v>
      </c>
      <c r="H41" s="5">
        <v>13750921</v>
      </c>
      <c r="I41" s="10">
        <v>3560162785</v>
      </c>
      <c r="J41" s="5" t="s">
        <v>522</v>
      </c>
      <c r="K41" s="10" t="s">
        <v>523</v>
      </c>
      <c r="L41" s="5">
        <v>2</v>
      </c>
      <c r="M41" s="5">
        <v>67644850</v>
      </c>
      <c r="N41" s="5" t="s">
        <v>64</v>
      </c>
      <c r="O41" s="5">
        <v>1</v>
      </c>
      <c r="P41" s="6">
        <v>103</v>
      </c>
      <c r="Q41" s="5">
        <v>103</v>
      </c>
      <c r="R41" s="5"/>
      <c r="S41" s="5"/>
      <c r="T41" s="7">
        <v>11</v>
      </c>
      <c r="U41" s="5" t="s">
        <v>524</v>
      </c>
      <c r="V41" s="5">
        <v>2</v>
      </c>
      <c r="W41" s="5">
        <v>14050201</v>
      </c>
      <c r="X41" s="7"/>
      <c r="Y41" s="7"/>
      <c r="Z41" s="10" t="s">
        <v>525</v>
      </c>
      <c r="AA41" s="5"/>
      <c r="AB41" s="5"/>
      <c r="AC41" s="5" t="s">
        <v>522</v>
      </c>
      <c r="AD41" s="5"/>
      <c r="AE41" s="5" t="s">
        <v>121</v>
      </c>
      <c r="AF41" s="5"/>
      <c r="AG41" s="10" t="s">
        <v>543</v>
      </c>
      <c r="AH41" s="40" t="s">
        <v>13</v>
      </c>
      <c r="AI41" s="40">
        <v>2</v>
      </c>
      <c r="AJ41" s="40">
        <v>230</v>
      </c>
      <c r="AK41" s="41">
        <v>350000000</v>
      </c>
      <c r="AL41" s="40">
        <v>10</v>
      </c>
      <c r="AM41" s="42">
        <f>_xlfn.XLOOKUP(emp_info[[#This Row],[گروه شغلی]],Table7[گروه شغلی],Table7[مزد شغل])</f>
        <v>5867844</v>
      </c>
      <c r="AN41" s="40">
        <f>_xlfn.XLOOKUP(emp_info[[#This Row],[گروه شغلی]],Table7[گروه شغلی],Table7[پایه سنوات])</f>
        <v>168467</v>
      </c>
      <c r="AO41" s="40">
        <v>0</v>
      </c>
      <c r="AP41" s="56">
        <f>emp_info[[#This Row],[مزد روزانه ]]+(emp_info[[#This Row],[تعداد سال کارکرد]]*emp_info[[#This Row],[پایه سنواتی]])</f>
        <v>5867844</v>
      </c>
      <c r="AQ41" s="1" t="s">
        <v>519</v>
      </c>
      <c r="AR41" s="1">
        <v>1</v>
      </c>
      <c r="AS41" s="1">
        <v>1</v>
      </c>
      <c r="AT41" s="1">
        <v>1</v>
      </c>
    </row>
    <row r="42" spans="2:46" ht="35.1" customHeight="1">
      <c r="B42" s="19">
        <v>39</v>
      </c>
      <c r="C42" s="5">
        <v>1</v>
      </c>
      <c r="D42" s="5">
        <v>4669611887</v>
      </c>
      <c r="E42" s="5" t="s">
        <v>526</v>
      </c>
      <c r="F42" s="5" t="s">
        <v>527</v>
      </c>
      <c r="G42" s="5" t="s">
        <v>528</v>
      </c>
      <c r="H42" s="5">
        <v>13610420</v>
      </c>
      <c r="I42" s="10">
        <v>37</v>
      </c>
      <c r="J42" s="5" t="s">
        <v>529</v>
      </c>
      <c r="K42" s="10" t="s">
        <v>364</v>
      </c>
      <c r="L42" s="5">
        <v>2</v>
      </c>
      <c r="M42" s="5">
        <v>63289173</v>
      </c>
      <c r="N42" s="5" t="s">
        <v>64</v>
      </c>
      <c r="O42" s="5">
        <v>1</v>
      </c>
      <c r="P42" s="6">
        <v>103</v>
      </c>
      <c r="Q42" s="5">
        <v>103</v>
      </c>
      <c r="R42" s="5"/>
      <c r="S42" s="5"/>
      <c r="T42" s="7">
        <v>15</v>
      </c>
      <c r="U42" s="5" t="s">
        <v>532</v>
      </c>
      <c r="V42" s="5">
        <v>2</v>
      </c>
      <c r="W42" s="5">
        <v>14050201</v>
      </c>
      <c r="X42" s="7"/>
      <c r="Y42" s="5"/>
      <c r="Z42" s="10" t="s">
        <v>531</v>
      </c>
      <c r="AA42" s="5" t="s">
        <v>530</v>
      </c>
      <c r="AB42" s="5">
        <v>630674</v>
      </c>
      <c r="AC42" s="5" t="s">
        <v>320</v>
      </c>
      <c r="AD42" s="5"/>
      <c r="AE42" s="5" t="s">
        <v>121</v>
      </c>
      <c r="AF42" s="5"/>
      <c r="AG42" s="10" t="s">
        <v>476</v>
      </c>
      <c r="AH42" s="40" t="s">
        <v>13</v>
      </c>
      <c r="AI42" s="40">
        <v>3</v>
      </c>
      <c r="AJ42" s="40">
        <v>230</v>
      </c>
      <c r="AK42" s="41">
        <v>800000000</v>
      </c>
      <c r="AL42" s="40">
        <v>10</v>
      </c>
      <c r="AM42" s="42">
        <f>_xlfn.XLOOKUP(emp_info[[#This Row],[گروه شغلی]],Table7[گروه شغلی],Table7[مزد شغل])</f>
        <v>5867844</v>
      </c>
      <c r="AN42" s="40">
        <f>_xlfn.XLOOKUP(emp_info[[#This Row],[گروه شغلی]],Table7[گروه شغلی],Table7[پایه سنوات])</f>
        <v>168467</v>
      </c>
      <c r="AO42" s="40">
        <v>0</v>
      </c>
      <c r="AP42" s="56">
        <f>emp_info[[#This Row],[مزد روزانه ]]+(emp_info[[#This Row],[تعداد سال کارکرد]]*emp_info[[#This Row],[پایه سنواتی]])</f>
        <v>5867844</v>
      </c>
      <c r="AQ42" s="1" t="s">
        <v>519</v>
      </c>
      <c r="AR42" s="1">
        <v>1</v>
      </c>
      <c r="AS42" s="1">
        <v>1</v>
      </c>
      <c r="AT42" s="1">
        <v>1</v>
      </c>
    </row>
    <row r="43" spans="2:46" ht="35.1" customHeight="1">
      <c r="B43" s="19">
        <v>40</v>
      </c>
      <c r="C43" s="5">
        <v>1</v>
      </c>
      <c r="D43" s="5">
        <v>2572718901</v>
      </c>
      <c r="E43" s="5" t="s">
        <v>544</v>
      </c>
      <c r="F43" s="5" t="s">
        <v>545</v>
      </c>
      <c r="G43" s="5" t="s">
        <v>547</v>
      </c>
      <c r="H43" s="5">
        <v>13640701</v>
      </c>
      <c r="I43" s="10" t="s">
        <v>548</v>
      </c>
      <c r="J43" s="5" t="s">
        <v>546</v>
      </c>
      <c r="K43" s="10" t="s">
        <v>364</v>
      </c>
      <c r="L43" s="5">
        <v>2</v>
      </c>
      <c r="M43" s="5">
        <v>85383405</v>
      </c>
      <c r="N43" s="5" t="s">
        <v>64</v>
      </c>
      <c r="O43" s="5">
        <v>1</v>
      </c>
      <c r="P43" s="6">
        <v>103</v>
      </c>
      <c r="Q43" s="5">
        <v>103</v>
      </c>
      <c r="R43" s="5"/>
      <c r="S43" s="5"/>
      <c r="T43" s="7">
        <v>15</v>
      </c>
      <c r="U43" s="5" t="s">
        <v>465</v>
      </c>
      <c r="V43" s="5">
        <v>2</v>
      </c>
      <c r="W43" s="5">
        <v>14050201</v>
      </c>
      <c r="X43" s="7"/>
      <c r="Y43" s="5"/>
      <c r="Z43" s="10" t="s">
        <v>373</v>
      </c>
      <c r="AA43" s="5"/>
      <c r="AB43" s="5"/>
      <c r="AC43" s="5" t="s">
        <v>546</v>
      </c>
      <c r="AD43" s="5"/>
      <c r="AE43" s="5" t="s">
        <v>121</v>
      </c>
      <c r="AF43" s="5"/>
      <c r="AG43" s="10"/>
      <c r="AH43" s="40" t="s">
        <v>13</v>
      </c>
      <c r="AI43" s="40">
        <v>1</v>
      </c>
      <c r="AJ43" s="40">
        <v>230</v>
      </c>
      <c r="AK43" s="41">
        <v>500000000</v>
      </c>
      <c r="AL43" s="40">
        <v>10</v>
      </c>
      <c r="AM43" s="42">
        <f>_xlfn.XLOOKUP(emp_info[[#This Row],[گروه شغلی]],Table7[گروه شغلی],Table7[مزد شغل])</f>
        <v>5867844</v>
      </c>
      <c r="AN43" s="40">
        <f>_xlfn.XLOOKUP(emp_info[[#This Row],[گروه شغلی]],Table7[گروه شغلی],Table7[پایه سنوات])</f>
        <v>168467</v>
      </c>
      <c r="AO43" s="40">
        <v>0</v>
      </c>
      <c r="AP43" s="56">
        <f>emp_info[[#This Row],[مزد روزانه ]]+(emp_info[[#This Row],[تعداد سال کارکرد]]*emp_info[[#This Row],[پایه سنواتی]])</f>
        <v>5867844</v>
      </c>
      <c r="AQ43" s="1" t="s">
        <v>519</v>
      </c>
      <c r="AR43" s="1">
        <v>1</v>
      </c>
      <c r="AS43" s="1">
        <v>1</v>
      </c>
      <c r="AT43" s="1">
        <v>1</v>
      </c>
    </row>
    <row r="44" spans="2:46" ht="35.1" customHeight="1">
      <c r="B44" s="19">
        <v>41</v>
      </c>
      <c r="C44" s="5">
        <v>1</v>
      </c>
      <c r="D44" s="5">
        <v>6629827821</v>
      </c>
      <c r="E44" s="5" t="s">
        <v>459</v>
      </c>
      <c r="F44" s="5" t="s">
        <v>550</v>
      </c>
      <c r="G44" s="5" t="s">
        <v>399</v>
      </c>
      <c r="H44" s="5">
        <v>13540101</v>
      </c>
      <c r="I44" s="10" t="s">
        <v>523</v>
      </c>
      <c r="J44" s="5" t="s">
        <v>568</v>
      </c>
      <c r="K44" s="10" t="s">
        <v>364</v>
      </c>
      <c r="L44" s="5">
        <v>2</v>
      </c>
      <c r="M44" s="5">
        <v>56960190</v>
      </c>
      <c r="N44" s="5" t="s">
        <v>64</v>
      </c>
      <c r="O44" s="5">
        <v>1</v>
      </c>
      <c r="P44" s="6">
        <v>103</v>
      </c>
      <c r="Q44" s="5">
        <v>103</v>
      </c>
      <c r="R44" s="5"/>
      <c r="S44" s="5"/>
      <c r="T44" s="7">
        <v>5</v>
      </c>
      <c r="U44" s="5" t="s">
        <v>354</v>
      </c>
      <c r="V44" s="5">
        <v>2</v>
      </c>
      <c r="W44" s="5">
        <v>14050301</v>
      </c>
      <c r="X44" s="7"/>
      <c r="Y44" s="5"/>
      <c r="Z44" s="10" t="s">
        <v>371</v>
      </c>
      <c r="AA44" s="5"/>
      <c r="AB44" s="5"/>
      <c r="AC44" s="5" t="s">
        <v>568</v>
      </c>
      <c r="AD44" s="5"/>
      <c r="AE44" s="5" t="s">
        <v>121</v>
      </c>
      <c r="AF44" s="5"/>
      <c r="AG44" s="10" t="s">
        <v>558</v>
      </c>
      <c r="AH44" s="40" t="s">
        <v>13</v>
      </c>
      <c r="AI44" s="40">
        <v>4</v>
      </c>
      <c r="AJ44" s="40">
        <v>230</v>
      </c>
      <c r="AK44" s="41">
        <v>570000000</v>
      </c>
      <c r="AL44" s="40">
        <v>10</v>
      </c>
      <c r="AM44" s="42">
        <f>_xlfn.XLOOKUP(emp_info[[#This Row],[گروه شغلی]],Table7[گروه شغلی],Table7[مزد شغل])</f>
        <v>5867844</v>
      </c>
      <c r="AN44" s="40">
        <f>_xlfn.XLOOKUP(emp_info[[#This Row],[گروه شغلی]],Table7[گروه شغلی],Table7[پایه سنوات])</f>
        <v>168467</v>
      </c>
      <c r="AO44" s="40">
        <v>0</v>
      </c>
      <c r="AP44" s="56">
        <f>emp_info[[#This Row],[مزد روزانه ]]+(emp_info[[#This Row],[تعداد سال کارکرد]]*emp_info[[#This Row],[پایه سنواتی]])</f>
        <v>5867844</v>
      </c>
      <c r="AQ44" s="1" t="s">
        <v>519</v>
      </c>
      <c r="AR44" s="1">
        <v>1</v>
      </c>
      <c r="AS44" s="1">
        <v>1</v>
      </c>
      <c r="AT44" s="1">
        <v>1</v>
      </c>
    </row>
    <row r="45" spans="2:46" ht="35.1" customHeight="1">
      <c r="B45" s="19">
        <v>42</v>
      </c>
      <c r="C45" s="5">
        <v>1</v>
      </c>
      <c r="D45" s="5">
        <v>2282026888</v>
      </c>
      <c r="E45" s="5" t="s">
        <v>551</v>
      </c>
      <c r="F45" s="5" t="s">
        <v>366</v>
      </c>
      <c r="G45" s="5" t="s">
        <v>567</v>
      </c>
      <c r="H45" s="5">
        <v>13740928</v>
      </c>
      <c r="I45" s="10">
        <v>2282026888</v>
      </c>
      <c r="J45" s="5" t="s">
        <v>14</v>
      </c>
      <c r="K45" s="10" t="s">
        <v>364</v>
      </c>
      <c r="L45" s="5">
        <v>2</v>
      </c>
      <c r="M45" s="5">
        <v>14689130</v>
      </c>
      <c r="N45" s="5" t="s">
        <v>64</v>
      </c>
      <c r="O45" s="5">
        <v>1</v>
      </c>
      <c r="P45" s="6">
        <v>103</v>
      </c>
      <c r="Q45" s="5">
        <v>103</v>
      </c>
      <c r="R45" s="5"/>
      <c r="S45" s="5"/>
      <c r="T45" s="7">
        <v>15</v>
      </c>
      <c r="U45" s="5" t="s">
        <v>465</v>
      </c>
      <c r="V45" s="5">
        <v>2</v>
      </c>
      <c r="W45" s="5">
        <v>14050301</v>
      </c>
      <c r="X45" s="7"/>
      <c r="Y45" s="5"/>
      <c r="Z45" s="10" t="s">
        <v>373</v>
      </c>
      <c r="AA45" s="5"/>
      <c r="AB45" s="5"/>
      <c r="AC45" s="5" t="s">
        <v>14</v>
      </c>
      <c r="AD45" s="5"/>
      <c r="AE45" s="5" t="s">
        <v>121</v>
      </c>
      <c r="AF45" s="5"/>
      <c r="AG45" s="10" t="s">
        <v>561</v>
      </c>
      <c r="AH45" s="40" t="s">
        <v>12</v>
      </c>
      <c r="AI45" s="40">
        <v>0</v>
      </c>
      <c r="AJ45" s="40">
        <v>230</v>
      </c>
      <c r="AK45" s="41">
        <v>500000000</v>
      </c>
      <c r="AL45" s="40">
        <v>10</v>
      </c>
      <c r="AM45" s="42">
        <f>_xlfn.XLOOKUP(emp_info[[#This Row],[گروه شغلی]],Table7[گروه شغلی],Table7[مزد شغل])</f>
        <v>5867844</v>
      </c>
      <c r="AN45" s="40">
        <f>_xlfn.XLOOKUP(emp_info[[#This Row],[گروه شغلی]],Table7[گروه شغلی],Table7[پایه سنوات])</f>
        <v>168467</v>
      </c>
      <c r="AO45" s="40">
        <v>0</v>
      </c>
      <c r="AP45" s="56">
        <f>emp_info[[#This Row],[مزد روزانه ]]+(emp_info[[#This Row],[تعداد سال کارکرد]]*emp_info[[#This Row],[پایه سنواتی]])</f>
        <v>5867844</v>
      </c>
      <c r="AQ45" s="1" t="s">
        <v>519</v>
      </c>
      <c r="AR45" s="1">
        <v>1</v>
      </c>
      <c r="AS45" s="1">
        <v>1</v>
      </c>
      <c r="AT45" s="1">
        <v>1</v>
      </c>
    </row>
    <row r="46" spans="2:46" ht="35.1" customHeight="1">
      <c r="B46" s="19">
        <v>43</v>
      </c>
      <c r="C46" s="5">
        <v>1</v>
      </c>
      <c r="D46" s="5">
        <v>3559977835</v>
      </c>
      <c r="E46" s="5" t="s">
        <v>552</v>
      </c>
      <c r="F46" s="5" t="s">
        <v>553</v>
      </c>
      <c r="G46" s="5" t="s">
        <v>289</v>
      </c>
      <c r="H46" s="5">
        <v>13670217</v>
      </c>
      <c r="I46" s="10" t="s">
        <v>565</v>
      </c>
      <c r="J46" s="5" t="s">
        <v>566</v>
      </c>
      <c r="K46" s="10" t="s">
        <v>364</v>
      </c>
      <c r="L46" s="5">
        <v>2</v>
      </c>
      <c r="M46" s="5">
        <v>63913770</v>
      </c>
      <c r="N46" s="5" t="s">
        <v>64</v>
      </c>
      <c r="O46" s="5">
        <v>1</v>
      </c>
      <c r="P46" s="6">
        <v>103</v>
      </c>
      <c r="Q46" s="5">
        <v>103</v>
      </c>
      <c r="R46" s="5"/>
      <c r="S46" s="5"/>
      <c r="T46" s="7">
        <v>15</v>
      </c>
      <c r="U46" s="5" t="s">
        <v>465</v>
      </c>
      <c r="V46" s="5">
        <v>2</v>
      </c>
      <c r="W46" s="5">
        <v>14050301</v>
      </c>
      <c r="X46" s="7"/>
      <c r="Y46" s="5"/>
      <c r="Z46" s="10" t="s">
        <v>373</v>
      </c>
      <c r="AA46" s="5"/>
      <c r="AB46" s="5"/>
      <c r="AC46" s="5" t="s">
        <v>566</v>
      </c>
      <c r="AD46" s="5"/>
      <c r="AE46" s="5" t="s">
        <v>121</v>
      </c>
      <c r="AF46" s="5"/>
      <c r="AG46" s="10" t="s">
        <v>562</v>
      </c>
      <c r="AH46" s="40" t="s">
        <v>12</v>
      </c>
      <c r="AI46" s="40">
        <v>0</v>
      </c>
      <c r="AJ46" s="40">
        <v>230</v>
      </c>
      <c r="AK46" s="41">
        <v>450000000</v>
      </c>
      <c r="AL46" s="40">
        <v>10</v>
      </c>
      <c r="AM46" s="42">
        <f>_xlfn.XLOOKUP(emp_info[[#This Row],[گروه شغلی]],Table7[گروه شغلی],Table7[مزد شغل])</f>
        <v>5867844</v>
      </c>
      <c r="AN46" s="40">
        <f>_xlfn.XLOOKUP(emp_info[[#This Row],[گروه شغلی]],Table7[گروه شغلی],Table7[پایه سنوات])</f>
        <v>168467</v>
      </c>
      <c r="AO46" s="40">
        <v>0</v>
      </c>
      <c r="AP46" s="56">
        <f>emp_info[[#This Row],[مزد روزانه ]]+(emp_info[[#This Row],[تعداد سال کارکرد]]*emp_info[[#This Row],[پایه سنواتی]])</f>
        <v>5867844</v>
      </c>
      <c r="AQ46" s="1" t="s">
        <v>519</v>
      </c>
      <c r="AR46" s="1">
        <v>1</v>
      </c>
      <c r="AS46" s="1">
        <v>1</v>
      </c>
      <c r="AT46" s="1">
        <v>1</v>
      </c>
    </row>
    <row r="47" spans="2:46" ht="35.1" customHeight="1">
      <c r="B47" s="19">
        <v>44</v>
      </c>
      <c r="C47" s="5">
        <v>1</v>
      </c>
      <c r="D47" s="5">
        <v>2380388725</v>
      </c>
      <c r="E47" s="5" t="s">
        <v>554</v>
      </c>
      <c r="F47" s="5" t="s">
        <v>555</v>
      </c>
      <c r="G47" s="5" t="s">
        <v>563</v>
      </c>
      <c r="H47" s="5">
        <v>13770504</v>
      </c>
      <c r="I47" s="10">
        <v>2380388725</v>
      </c>
      <c r="J47" s="5" t="s">
        <v>564</v>
      </c>
      <c r="K47" s="10" t="s">
        <v>364</v>
      </c>
      <c r="L47" s="5">
        <v>2</v>
      </c>
      <c r="M47" s="5"/>
      <c r="N47" s="5" t="s">
        <v>64</v>
      </c>
      <c r="O47" s="5">
        <v>1</v>
      </c>
      <c r="P47" s="6">
        <v>103</v>
      </c>
      <c r="Q47" s="5">
        <v>103</v>
      </c>
      <c r="R47" s="5"/>
      <c r="S47" s="5"/>
      <c r="T47" s="7">
        <v>15</v>
      </c>
      <c r="U47" s="5" t="s">
        <v>465</v>
      </c>
      <c r="V47" s="5">
        <v>2</v>
      </c>
      <c r="W47" s="5">
        <v>14050301</v>
      </c>
      <c r="X47" s="7"/>
      <c r="Y47" s="5"/>
      <c r="Z47" s="10" t="s">
        <v>373</v>
      </c>
      <c r="AA47" s="5"/>
      <c r="AB47" s="5"/>
      <c r="AC47" s="5" t="s">
        <v>358</v>
      </c>
      <c r="AD47" s="5"/>
      <c r="AE47" s="5" t="s">
        <v>121</v>
      </c>
      <c r="AF47" s="5"/>
      <c r="AG47" s="10" t="s">
        <v>560</v>
      </c>
      <c r="AH47" s="40" t="s">
        <v>12</v>
      </c>
      <c r="AI47" s="40">
        <v>0</v>
      </c>
      <c r="AJ47" s="40">
        <v>230</v>
      </c>
      <c r="AK47" s="41">
        <v>430000000</v>
      </c>
      <c r="AL47" s="40">
        <v>10</v>
      </c>
      <c r="AM47" s="42">
        <f>_xlfn.XLOOKUP(emp_info[[#This Row],[گروه شغلی]],Table7[گروه شغلی],Table7[مزد شغل])</f>
        <v>5867844</v>
      </c>
      <c r="AN47" s="40">
        <f>_xlfn.XLOOKUP(emp_info[[#This Row],[گروه شغلی]],Table7[گروه شغلی],Table7[پایه سنوات])</f>
        <v>168467</v>
      </c>
      <c r="AO47" s="40">
        <v>0</v>
      </c>
      <c r="AP47" s="56">
        <f>emp_info[[#This Row],[مزد روزانه ]]+(emp_info[[#This Row],[تعداد سال کارکرد]]*emp_info[[#This Row],[پایه سنواتی]])</f>
        <v>5867844</v>
      </c>
      <c r="AQ47" s="1" t="s">
        <v>519</v>
      </c>
      <c r="AR47" s="1">
        <v>0</v>
      </c>
      <c r="AS47" s="1">
        <v>0</v>
      </c>
      <c r="AT47" s="1">
        <v>1</v>
      </c>
    </row>
    <row r="48" spans="2:46" ht="35.1" customHeight="1">
      <c r="B48" s="19">
        <v>44</v>
      </c>
      <c r="C48" s="5">
        <v>1</v>
      </c>
      <c r="D48" s="5">
        <v>6790016570</v>
      </c>
      <c r="E48" s="5" t="s">
        <v>556</v>
      </c>
      <c r="F48" s="5" t="s">
        <v>557</v>
      </c>
      <c r="G48" s="5" t="s">
        <v>569</v>
      </c>
      <c r="H48" s="5">
        <v>13540101</v>
      </c>
      <c r="I48" s="10">
        <v>6790016570</v>
      </c>
      <c r="J48" s="5" t="s">
        <v>181</v>
      </c>
      <c r="K48" s="10" t="s">
        <v>364</v>
      </c>
      <c r="L48" s="5">
        <v>2</v>
      </c>
      <c r="M48" s="5">
        <v>46782583</v>
      </c>
      <c r="N48" s="5" t="s">
        <v>64</v>
      </c>
      <c r="O48" s="5">
        <v>1</v>
      </c>
      <c r="P48" s="6">
        <v>103</v>
      </c>
      <c r="Q48" s="5">
        <v>103</v>
      </c>
      <c r="R48" s="5"/>
      <c r="S48" s="5"/>
      <c r="T48" s="7">
        <v>15</v>
      </c>
      <c r="U48" s="5" t="s">
        <v>353</v>
      </c>
      <c r="V48" s="5">
        <v>2</v>
      </c>
      <c r="W48" s="5">
        <v>14050301</v>
      </c>
      <c r="X48" s="7"/>
      <c r="Y48" s="5"/>
      <c r="Z48" s="10" t="s">
        <v>368</v>
      </c>
      <c r="AA48" s="5"/>
      <c r="AB48" s="5"/>
      <c r="AC48" s="5" t="s">
        <v>181</v>
      </c>
      <c r="AD48" s="5"/>
      <c r="AE48" s="5" t="s">
        <v>121</v>
      </c>
      <c r="AF48" s="5"/>
      <c r="AG48" s="10" t="s">
        <v>559</v>
      </c>
      <c r="AH48" s="40" t="s">
        <v>12</v>
      </c>
      <c r="AI48" s="40">
        <v>0</v>
      </c>
      <c r="AJ48" s="40">
        <v>230</v>
      </c>
      <c r="AK48" s="41">
        <v>410000000</v>
      </c>
      <c r="AL48" s="40">
        <v>10</v>
      </c>
      <c r="AM48" s="42">
        <f>_xlfn.XLOOKUP(emp_info[[#This Row],[گروه شغلی]],Table7[گروه شغلی],Table7[مزد شغل])</f>
        <v>5867844</v>
      </c>
      <c r="AN48" s="40">
        <f>_xlfn.XLOOKUP(emp_info[[#This Row],[گروه شغلی]],Table7[گروه شغلی],Table7[پایه سنوات])</f>
        <v>168467</v>
      </c>
      <c r="AO48" s="40">
        <v>0</v>
      </c>
      <c r="AP48" s="56">
        <f>emp_info[[#This Row],[مزد روزانه ]]+(emp_info[[#This Row],[تعداد سال کارکرد]]*emp_info[[#This Row],[پایه سنواتی]])</f>
        <v>5867844</v>
      </c>
      <c r="AQ48" s="1" t="s">
        <v>519</v>
      </c>
      <c r="AR48" s="1">
        <v>1</v>
      </c>
      <c r="AS48" s="1">
        <v>1</v>
      </c>
      <c r="AT48" s="1">
        <v>1</v>
      </c>
    </row>
    <row r="49" spans="2:46" ht="35.1" customHeight="1">
      <c r="B49" s="145">
        <v>44</v>
      </c>
      <c r="C49" s="5">
        <v>1</v>
      </c>
      <c r="D49" s="5">
        <v>1130448002</v>
      </c>
      <c r="E49" s="5" t="s">
        <v>571</v>
      </c>
      <c r="F49" s="5" t="s">
        <v>572</v>
      </c>
      <c r="G49" s="5" t="s">
        <v>579</v>
      </c>
      <c r="H49" s="5">
        <v>13761114</v>
      </c>
      <c r="I49" s="5">
        <v>1130448002</v>
      </c>
      <c r="J49" s="5" t="s">
        <v>578</v>
      </c>
      <c r="K49" s="10" t="s">
        <v>364</v>
      </c>
      <c r="L49" s="5">
        <v>2</v>
      </c>
      <c r="M49" s="5">
        <v>12888421</v>
      </c>
      <c r="N49" s="5" t="s">
        <v>64</v>
      </c>
      <c r="O49" s="5">
        <v>1</v>
      </c>
      <c r="P49" s="6">
        <v>103</v>
      </c>
      <c r="Q49" s="5">
        <v>103</v>
      </c>
      <c r="R49" s="5"/>
      <c r="S49" s="5"/>
      <c r="T49" s="7">
        <v>15</v>
      </c>
      <c r="U49" s="5" t="s">
        <v>353</v>
      </c>
      <c r="V49" s="5">
        <v>2</v>
      </c>
      <c r="W49" s="5">
        <v>14050401</v>
      </c>
      <c r="X49" s="7"/>
      <c r="Y49" s="5"/>
      <c r="Z49" s="10" t="s">
        <v>570</v>
      </c>
      <c r="AA49" s="5"/>
      <c r="AB49" s="5"/>
      <c r="AC49" s="5" t="s">
        <v>578</v>
      </c>
      <c r="AD49" s="5"/>
      <c r="AE49" s="5" t="s">
        <v>121</v>
      </c>
      <c r="AF49" s="5"/>
      <c r="AG49" s="10"/>
      <c r="AH49" s="40" t="s">
        <v>12</v>
      </c>
      <c r="AI49" s="40">
        <v>0</v>
      </c>
      <c r="AJ49" s="40">
        <v>230</v>
      </c>
      <c r="AK49" s="41">
        <v>400000000</v>
      </c>
      <c r="AL49" s="40">
        <v>10</v>
      </c>
      <c r="AM49" s="42">
        <f>_xlfn.XLOOKUP(emp_info[[#This Row],[گروه شغلی]],Table7[گروه شغلی],Table7[مزد شغل])</f>
        <v>5867844</v>
      </c>
      <c r="AN49" s="40">
        <f>_xlfn.XLOOKUP(emp_info[[#This Row],[گروه شغلی]],Table7[گروه شغلی],Table7[پایه سنوات])</f>
        <v>168467</v>
      </c>
      <c r="AO49" s="40">
        <v>0</v>
      </c>
      <c r="AP49" s="56">
        <f>emp_info[[#This Row],[مزد روزانه ]]+(emp_info[[#This Row],[تعداد سال کارکرد]]*emp_info[[#This Row],[پایه سنواتی]])</f>
        <v>5867844</v>
      </c>
      <c r="AQ49" s="1" t="s">
        <v>519</v>
      </c>
      <c r="AR49" s="1">
        <v>1</v>
      </c>
      <c r="AS49" s="1">
        <v>1</v>
      </c>
      <c r="AT49" s="1">
        <v>1</v>
      </c>
    </row>
    <row r="50" spans="2:46" ht="35.1" customHeight="1">
      <c r="D50">
        <v>2572718901</v>
      </c>
      <c r="L50" s="134">
        <v>54876438</v>
      </c>
      <c r="AH50" s="1"/>
      <c r="AI50" s="1"/>
      <c r="AJ50" s="1"/>
      <c r="AK50" s="1"/>
      <c r="AL50" s="1"/>
      <c r="AM50" s="1"/>
      <c r="AN50" s="1"/>
      <c r="AO50" s="1"/>
      <c r="AP50" s="1"/>
    </row>
    <row r="51" spans="2:46" ht="35.1" customHeight="1">
      <c r="D51">
        <v>2572718901</v>
      </c>
      <c r="AH51" s="1"/>
      <c r="AI51" s="1"/>
      <c r="AJ51" s="1"/>
      <c r="AK51" s="1"/>
      <c r="AL51" s="1"/>
      <c r="AM51" s="1"/>
      <c r="AN51" s="1"/>
      <c r="AO51" s="1"/>
      <c r="AP51" s="1"/>
    </row>
    <row r="52" spans="2:46" ht="35.1" customHeight="1">
      <c r="AB52" s="8"/>
      <c r="AD52" s="8"/>
      <c r="AH52" s="1"/>
      <c r="AI52" s="1"/>
      <c r="AJ52" s="1"/>
      <c r="AK52" s="1"/>
      <c r="AL52" s="1"/>
      <c r="AM52" s="1"/>
      <c r="AN52" s="1"/>
      <c r="AO52" s="1"/>
      <c r="AP52" s="1"/>
    </row>
    <row r="53" spans="2:46" ht="35.1" customHeight="1">
      <c r="AH53" s="1"/>
      <c r="AI53" s="1"/>
      <c r="AJ53" s="1"/>
      <c r="AK53" s="1"/>
      <c r="AL53" s="1"/>
      <c r="AM53" s="1"/>
      <c r="AN53" s="1"/>
      <c r="AO53" s="1"/>
      <c r="AP53" s="1"/>
    </row>
    <row r="54" spans="2:46" ht="35.1" customHeight="1"/>
    <row r="55" spans="2:46" ht="35.1" customHeight="1"/>
  </sheetData>
  <dataConsolidate/>
  <mergeCells count="2">
    <mergeCell ref="AH1:AP1"/>
    <mergeCell ref="Z1:AG1"/>
  </mergeCells>
  <phoneticPr fontId="27" type="noConversion"/>
  <conditionalFormatting sqref="M3:M37">
    <cfRule type="duplicateValues" dxfId="94" priority="11"/>
  </conditionalFormatting>
  <conditionalFormatting sqref="D3:D41">
    <cfRule type="duplicateValues" dxfId="93" priority="12"/>
  </conditionalFormatting>
  <conditionalFormatting sqref="D3:D49">
    <cfRule type="duplicateValues" dxfId="92" priority="2"/>
  </conditionalFormatting>
  <conditionalFormatting sqref="I49">
    <cfRule type="duplicateValues" dxfId="91" priority="1"/>
  </conditionalFormatting>
  <dataValidations count="1">
    <dataValidation type="textLength" operator="equal" allowBlank="1" showInputMessage="1" showErrorMessage="1" errorTitle="کد ملی" error="باید 10 رقم باشد" promptTitle="کد ملی" prompt="باید 10 رقم باشد" sqref="D3:D49 I49" xr:uid="{271828A2-09F6-49D1-90B4-3E17A1B46FD1}">
      <formula1>10</formula1>
    </dataValidation>
  </dataValidations>
  <printOptions horizontalCentered="1" verticalCentered="1"/>
  <pageMargins left="0.25" right="0.25" top="0.75" bottom="0.75" header="0.3" footer="0.3"/>
  <pageSetup paperSize="9" scale="16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9311-B211-4B3C-AF3B-6C5027061767}">
  <sheetPr codeName="Sheet18">
    <pageSetUpPr fitToPage="1"/>
  </sheetPr>
  <dimension ref="A1:CO60"/>
  <sheetViews>
    <sheetView rightToLeft="1" zoomScaleNormal="100" workbookViewId="0">
      <pane xSplit="7" ySplit="6" topLeftCell="Q7" activePane="bottomRight" state="frozen"/>
      <selection pane="topRight" activeCell="H1" sqref="H1"/>
      <selection pane="bottomLeft" activeCell="A7" sqref="A7"/>
      <selection pane="bottomRight" activeCell="B7" sqref="B7:B41"/>
    </sheetView>
  </sheetViews>
  <sheetFormatPr defaultColWidth="9.125" defaultRowHeight="14.25"/>
  <cols>
    <col min="1" max="1" width="4.5" style="2" customWidth="1"/>
    <col min="2" max="2" width="4.125" style="1" customWidth="1"/>
    <col min="3" max="3" width="4" customWidth="1"/>
    <col min="4" max="4" width="3.5" customWidth="1"/>
    <col min="5" max="5" width="3.75" customWidth="1"/>
    <col min="6" max="6" width="11.25" customWidth="1"/>
    <col min="7" max="7" width="13.375" style="119" bestFit="1" customWidth="1"/>
    <col min="8" max="8" width="4.375" style="1" hidden="1" customWidth="1"/>
    <col min="9" max="9" width="5.25" style="1" hidden="1" customWidth="1"/>
    <col min="10" max="11" width="12" style="2" hidden="1" customWidth="1"/>
    <col min="12" max="12" width="8.75" style="2" hidden="1" customWidth="1"/>
    <col min="13" max="13" width="5.125" style="2" hidden="1" customWidth="1"/>
    <col min="14" max="14" width="6.125" style="2" hidden="1" customWidth="1"/>
    <col min="15" max="15" width="7.25" style="2" hidden="1" customWidth="1"/>
    <col min="16" max="16" width="7" style="2" hidden="1" customWidth="1"/>
    <col min="17" max="17" width="7.125" style="1" customWidth="1"/>
    <col min="18" max="18" width="6.5" style="2" customWidth="1"/>
    <col min="19" max="19" width="10.375" style="90" customWidth="1"/>
    <col min="20" max="20" width="6.875" style="2" customWidth="1"/>
    <col min="21" max="21" width="12" style="2" customWidth="1"/>
    <col min="22" max="22" width="14.375" style="2" customWidth="1"/>
    <col min="23" max="23" width="10.75" style="2" customWidth="1"/>
    <col min="24" max="24" width="11.75" style="2" customWidth="1"/>
    <col min="25" max="25" width="9.875" style="2" customWidth="1"/>
    <col min="26" max="26" width="13.375" style="2" customWidth="1"/>
    <col min="27" max="27" width="12" style="2" customWidth="1"/>
    <col min="28" max="28" width="13.75" style="2" customWidth="1"/>
    <col min="29" max="29" width="10.5" style="2" customWidth="1"/>
    <col min="30" max="31" width="9.875" style="2" customWidth="1"/>
    <col min="32" max="33" width="10.5" style="2" customWidth="1"/>
    <col min="34" max="34" width="9.625" style="2" customWidth="1"/>
    <col min="35" max="35" width="12" style="2" customWidth="1"/>
    <col min="36" max="36" width="9.625" style="2" customWidth="1"/>
    <col min="37" max="37" width="9.875" style="1" customWidth="1"/>
    <col min="38" max="39" width="9.875" style="2" customWidth="1"/>
    <col min="40" max="40" width="26.5" style="2" bestFit="1" customWidth="1"/>
    <col min="41" max="42" width="10.5" style="2" customWidth="1"/>
    <col min="43" max="45" width="12" style="2" customWidth="1"/>
    <col min="46" max="46" width="12.5" style="2" customWidth="1"/>
    <col min="47" max="47" width="13.875" style="2" customWidth="1"/>
    <col min="48" max="48" width="16.625" style="2" customWidth="1"/>
    <col min="49" max="49" width="19.875" style="2" customWidth="1"/>
    <col min="50" max="50" width="12" style="2" customWidth="1"/>
    <col min="51" max="51" width="16.375" style="2" customWidth="1"/>
    <col min="52" max="52" width="12.875" style="2" customWidth="1"/>
    <col min="53" max="53" width="12" style="2" customWidth="1"/>
    <col min="54" max="54" width="15.125" style="2" customWidth="1"/>
    <col min="55" max="55" width="18.75" style="2" customWidth="1"/>
    <col min="56" max="58" width="16.75" style="2" customWidth="1"/>
    <col min="59" max="59" width="23.125" style="2" bestFit="1" customWidth="1"/>
    <col min="60" max="61" width="15.625" style="2" bestFit="1" customWidth="1"/>
    <col min="62" max="62" width="14" style="2" bestFit="1" customWidth="1"/>
    <col min="63" max="63" width="15.625" style="2" customWidth="1"/>
    <col min="64" max="64" width="25.125" style="2" customWidth="1"/>
    <col min="65" max="65" width="27.875" style="2" customWidth="1"/>
    <col min="66" max="66" width="17.25" style="2" customWidth="1"/>
    <col min="67" max="67" width="12.375" style="2" customWidth="1"/>
    <col min="68" max="68" width="14.125" style="2" customWidth="1"/>
    <col min="69" max="69" width="12.75" style="2" customWidth="1"/>
    <col min="70" max="70" width="12.5" style="2" customWidth="1"/>
    <col min="71" max="71" width="16.375" style="2" customWidth="1"/>
    <col min="72" max="72" width="23.875" style="2" bestFit="1" customWidth="1"/>
    <col min="73" max="73" width="11.875" style="2" customWidth="1"/>
    <col min="74" max="74" width="9.125" style="2" customWidth="1"/>
    <col min="75" max="75" width="15.75" style="2" customWidth="1"/>
    <col min="76" max="76" width="11.875" style="2" customWidth="1"/>
    <col min="77" max="79" width="9.125" style="2" customWidth="1"/>
    <col min="80" max="80" width="11.5" style="2" customWidth="1"/>
    <col min="81" max="91" width="9.125" style="2" customWidth="1"/>
    <col min="92" max="16384" width="9.125" style="2"/>
  </cols>
  <sheetData>
    <row r="1" spans="1:93" ht="24.95" customHeight="1">
      <c r="B1" s="83"/>
      <c r="C1" s="84"/>
      <c r="D1" s="84"/>
      <c r="E1" s="84" t="b">
        <v>0</v>
      </c>
      <c r="F1" s="84"/>
      <c r="G1" s="85"/>
      <c r="S1" s="86"/>
      <c r="X1" s="2" t="s">
        <v>126</v>
      </c>
      <c r="Y1" s="2" t="s">
        <v>127</v>
      </c>
      <c r="Z1" s="2" t="s">
        <v>128</v>
      </c>
      <c r="AA1" s="2" t="s">
        <v>129</v>
      </c>
      <c r="AB1" s="2" t="s">
        <v>130</v>
      </c>
      <c r="AC1" s="2" t="s">
        <v>76</v>
      </c>
      <c r="AD1" s="2" t="s">
        <v>41</v>
      </c>
      <c r="AE1" s="2" t="s">
        <v>131</v>
      </c>
      <c r="AF1" s="2" t="s">
        <v>132</v>
      </c>
      <c r="AG1" s="2" t="s">
        <v>253</v>
      </c>
      <c r="AH1" s="2" t="s">
        <v>18</v>
      </c>
      <c r="AI1" s="2" t="s">
        <v>19</v>
      </c>
      <c r="AJ1" s="2" t="s">
        <v>21</v>
      </c>
      <c r="AK1" s="2" t="s">
        <v>20</v>
      </c>
      <c r="AL1" s="1" t="s">
        <v>264</v>
      </c>
      <c r="AM1" s="2" t="s">
        <v>263</v>
      </c>
      <c r="AN1" s="2" t="s">
        <v>265</v>
      </c>
      <c r="AO1" s="2" t="s">
        <v>266</v>
      </c>
      <c r="AP1" s="2" t="s">
        <v>267</v>
      </c>
      <c r="AQ1" s="2" t="s">
        <v>268</v>
      </c>
      <c r="AR1" s="2" t="s">
        <v>279</v>
      </c>
      <c r="AS1" s="2" t="s">
        <v>272</v>
      </c>
      <c r="AU1" s="1"/>
      <c r="BL1" s="87" t="s">
        <v>126</v>
      </c>
      <c r="BM1" s="87" t="s">
        <v>127</v>
      </c>
      <c r="BN1" s="87" t="s">
        <v>128</v>
      </c>
      <c r="BO1" s="87" t="s">
        <v>129</v>
      </c>
      <c r="BP1" s="88" t="s">
        <v>130</v>
      </c>
      <c r="BQ1" s="87" t="s">
        <v>76</v>
      </c>
      <c r="BR1" s="87" t="s">
        <v>41</v>
      </c>
      <c r="BS1" s="87" t="s">
        <v>131</v>
      </c>
      <c r="BT1" s="87" t="s">
        <v>132</v>
      </c>
      <c r="BU1" s="87" t="s">
        <v>133</v>
      </c>
      <c r="BV1" s="87" t="s">
        <v>134</v>
      </c>
      <c r="BW1" s="87" t="s">
        <v>135</v>
      </c>
      <c r="BX1" s="87" t="s">
        <v>136</v>
      </c>
      <c r="BY1" s="87" t="s">
        <v>137</v>
      </c>
      <c r="BZ1" s="87" t="s">
        <v>138</v>
      </c>
      <c r="CA1" s="87" t="s">
        <v>139</v>
      </c>
      <c r="CB1" s="89" t="s">
        <v>140</v>
      </c>
      <c r="CC1" s="87" t="s">
        <v>141</v>
      </c>
      <c r="CD1" s="87" t="s">
        <v>34</v>
      </c>
      <c r="CE1" s="87" t="s">
        <v>142</v>
      </c>
      <c r="CF1" s="87" t="s">
        <v>143</v>
      </c>
      <c r="CG1" s="87" t="s">
        <v>144</v>
      </c>
      <c r="CH1" s="87" t="s">
        <v>145</v>
      </c>
      <c r="CI1" s="87" t="s">
        <v>171</v>
      </c>
      <c r="CJ1" s="87" t="s">
        <v>172</v>
      </c>
    </row>
    <row r="2" spans="1:93" ht="24.95" customHeight="1" thickBot="1">
      <c r="B2" s="83"/>
      <c r="C2" s="84"/>
      <c r="D2" s="84"/>
      <c r="E2" s="84" t="b">
        <v>0</v>
      </c>
      <c r="F2" s="84"/>
      <c r="G2" s="85"/>
      <c r="V2" s="91"/>
      <c r="X2" s="92" t="s">
        <v>126</v>
      </c>
      <c r="Y2" s="92" t="s">
        <v>127</v>
      </c>
      <c r="Z2" s="92" t="s">
        <v>128</v>
      </c>
      <c r="AA2" s="92" t="s">
        <v>129</v>
      </c>
      <c r="AB2" s="93" t="s">
        <v>130</v>
      </c>
      <c r="AC2" s="92" t="s">
        <v>151</v>
      </c>
      <c r="AD2" s="92" t="s">
        <v>152</v>
      </c>
      <c r="AE2" s="92" t="s">
        <v>131</v>
      </c>
      <c r="AF2" s="92" t="s">
        <v>132</v>
      </c>
      <c r="AG2" s="92" t="s">
        <v>253</v>
      </c>
      <c r="AH2" s="92" t="s">
        <v>18</v>
      </c>
      <c r="AI2" s="92" t="s">
        <v>19</v>
      </c>
      <c r="AJ2" s="92" t="s">
        <v>21</v>
      </c>
      <c r="AK2" s="92" t="s">
        <v>20</v>
      </c>
      <c r="AL2" s="94" t="s">
        <v>264</v>
      </c>
      <c r="AM2" s="95" t="s">
        <v>263</v>
      </c>
      <c r="AN2" s="95" t="s">
        <v>265</v>
      </c>
      <c r="AO2" s="95" t="s">
        <v>266</v>
      </c>
      <c r="AP2" s="95" t="s">
        <v>267</v>
      </c>
      <c r="AQ2" s="95" t="s">
        <v>268</v>
      </c>
      <c r="AR2" s="96" t="s">
        <v>279</v>
      </c>
      <c r="AS2" s="97" t="s">
        <v>272</v>
      </c>
      <c r="AW2" s="1"/>
      <c r="BL2" s="98" t="s">
        <v>146</v>
      </c>
      <c r="BM2" s="98" t="s">
        <v>147</v>
      </c>
      <c r="BN2" s="98" t="s">
        <v>148</v>
      </c>
      <c r="BO2" s="98" t="s">
        <v>149</v>
      </c>
      <c r="BP2" s="98" t="s">
        <v>150</v>
      </c>
      <c r="BQ2" s="98" t="s">
        <v>151</v>
      </c>
      <c r="BR2" s="98" t="s">
        <v>152</v>
      </c>
      <c r="BS2" s="98" t="s">
        <v>153</v>
      </c>
      <c r="BT2" s="98" t="s">
        <v>154</v>
      </c>
      <c r="BU2" s="98" t="s">
        <v>155</v>
      </c>
      <c r="BV2" s="98" t="s">
        <v>156</v>
      </c>
      <c r="BW2" s="98" t="s">
        <v>157</v>
      </c>
      <c r="BX2" s="98" t="s">
        <v>158</v>
      </c>
      <c r="BY2" s="98" t="s">
        <v>159</v>
      </c>
      <c r="BZ2" s="98" t="s">
        <v>160</v>
      </c>
      <c r="CA2" s="98" t="s">
        <v>161</v>
      </c>
      <c r="CB2" s="98" t="s">
        <v>162</v>
      </c>
      <c r="CC2" s="98" t="s">
        <v>163</v>
      </c>
      <c r="CD2" s="98" t="s">
        <v>164</v>
      </c>
      <c r="CE2" s="98" t="s">
        <v>165</v>
      </c>
      <c r="CF2" s="98" t="s">
        <v>166</v>
      </c>
      <c r="CG2" s="98" t="s">
        <v>167</v>
      </c>
      <c r="CH2" s="98" t="s">
        <v>168</v>
      </c>
      <c r="CI2" s="98" t="s">
        <v>169</v>
      </c>
      <c r="CJ2" s="98" t="s">
        <v>170</v>
      </c>
    </row>
    <row r="3" spans="1:93" ht="24.95" customHeight="1" thickTop="1">
      <c r="B3" s="83"/>
      <c r="C3" s="84"/>
      <c r="D3" s="84"/>
      <c r="E3" s="84"/>
      <c r="F3" s="84"/>
      <c r="G3" s="85"/>
      <c r="V3" s="99"/>
      <c r="X3" s="100" t="s">
        <v>377</v>
      </c>
      <c r="Y3" s="101" t="s">
        <v>378</v>
      </c>
      <c r="Z3" s="101" t="s">
        <v>379</v>
      </c>
      <c r="AA3" s="101" t="s">
        <v>380</v>
      </c>
      <c r="AB3" s="101">
        <v>0</v>
      </c>
      <c r="AC3" s="101" t="s">
        <v>515</v>
      </c>
      <c r="AD3" s="101" t="s">
        <v>573</v>
      </c>
      <c r="AE3" s="102" t="s">
        <v>120</v>
      </c>
      <c r="AF3" s="102" t="s">
        <v>574</v>
      </c>
      <c r="AG3" s="101" t="s">
        <v>518</v>
      </c>
      <c r="AH3" s="102">
        <v>22000000</v>
      </c>
      <c r="AI3" s="102">
        <v>30000000</v>
      </c>
      <c r="AJ3" s="102">
        <v>5000000</v>
      </c>
      <c r="AK3" s="102">
        <v>16625549</v>
      </c>
      <c r="AL3" s="103">
        <v>0</v>
      </c>
      <c r="AM3" s="103">
        <v>0</v>
      </c>
      <c r="AN3" s="103">
        <v>0</v>
      </c>
      <c r="AO3" s="103">
        <v>0</v>
      </c>
      <c r="AP3" s="103">
        <v>0</v>
      </c>
      <c r="AQ3" s="103">
        <v>0</v>
      </c>
      <c r="AR3" s="104">
        <v>2388728</v>
      </c>
      <c r="AS3" s="105">
        <v>8736600</v>
      </c>
      <c r="AW3" s="1"/>
      <c r="BL3" s="106" t="str">
        <f>list_info302332152027[[#This Row],[کد کارگاه ]]</f>
        <v>4894290013</v>
      </c>
      <c r="BM3" s="106" t="str">
        <f>list_info302332152027[[#This Row],[نام کارگاه]]</f>
        <v>دفترشركت فارس عاليش</v>
      </c>
      <c r="BN3" s="106" t="str">
        <f>list_info302332152027[[#This Row],[نام کارفرما]]</f>
        <v>شرکت نفت و گاز پارس</v>
      </c>
      <c r="BO3" s="106" t="str">
        <f>list_info302332152027[[#This Row],[آدرس کارگاه]]</f>
        <v>بوشهر شهرستان عسلویه</v>
      </c>
      <c r="BP3" s="106">
        <f>list_info302332152027[[#This Row],[نوع لیست]]</f>
        <v>0</v>
      </c>
      <c r="BQ3" s="106" t="str">
        <f>list_info302332152027[[#This Row],[DSK_YY]]</f>
        <v>05</v>
      </c>
      <c r="BR3" s="106" t="str">
        <f>list_info302332152027[[#This Row],[DSK_MM]]</f>
        <v>04</v>
      </c>
      <c r="BS3" s="106" t="str">
        <f>list_info302332152027[[#This Row],[شماره لیست]]</f>
        <v>01</v>
      </c>
      <c r="BT3" s="106" t="str">
        <f>list_info302332152027[[#This Row],[شرح لیست]]</f>
        <v>انبارداری  بیمه تیر 1405</v>
      </c>
      <c r="BU3" s="107">
        <f>COUNTIF(Data15272025121621[بیمه],1)</f>
        <v>31</v>
      </c>
      <c r="BV3" s="107">
        <f>SUMIF(Data15272025121621[بیمه],1,Data15272025121621[روز بیمه])</f>
        <v>961</v>
      </c>
      <c r="BW3" s="107">
        <f>SUMIF(Data15272025121621[بیمه],1,Data15272025121621[[مزد روزانه ]])</f>
        <v>183383354</v>
      </c>
      <c r="BX3" s="107">
        <f>SUMIF(Data15272025121621[بیمه],1,Data15272025121621[حقوق پایه])</f>
        <v>5721658313</v>
      </c>
      <c r="BY3" s="107">
        <f>SUMIF(Data15272025121621[بیمه],1,Data15272025121621[[ مزایا مشمول]])</f>
        <v>5607713275</v>
      </c>
      <c r="BZ3" s="107">
        <f>SUMIF(Data15272025121621[بیمه],1,Data15272025121621[جمع حقوق و مزایا مشمول بیمه])</f>
        <v>11329371588</v>
      </c>
      <c r="CA3" s="107">
        <f>SUMIF(Data15272025121621[بیمه],1,Data15272025121621[حقوق ناخالص])</f>
        <v>16949347828</v>
      </c>
      <c r="CB3" s="107">
        <f>SUMIF(Data15272025121621[بیمه],1,Data15272025121621[بیمه سهم کارگر])</f>
        <v>793056012</v>
      </c>
      <c r="CC3" s="107">
        <f>SUMIF(Data15272025121621[بیمه],1,Data15272025121621[بیمه سهم کارفرما])</f>
        <v>2265874316</v>
      </c>
      <c r="CD3" s="107">
        <f>SUMIF(Data15272025121621[بیمه],1,Data15272025121621[بیمه بیکاری])</f>
        <v>339881146</v>
      </c>
      <c r="CE3" s="108">
        <v>27</v>
      </c>
      <c r="CF3" s="108">
        <v>0</v>
      </c>
      <c r="CG3" s="108">
        <v>0</v>
      </c>
      <c r="CH3" s="106" t="s">
        <v>381</v>
      </c>
      <c r="CI3" s="108">
        <f>SUMIF(Data15272025121621[بیمه],1,Data15272025121621[جمع پایه سنواتی])</f>
        <v>36774339</v>
      </c>
      <c r="CJ3" s="107">
        <f>SUMIF(Data15272025121621[بیمه],1,Data15272025121621[حق تاهل])</f>
        <v>70000000</v>
      </c>
    </row>
    <row r="4" spans="1:93" ht="24.95" customHeight="1">
      <c r="B4" s="83"/>
      <c r="C4" s="84"/>
      <c r="D4" s="84"/>
      <c r="E4" s="84"/>
      <c r="F4" s="84"/>
      <c r="G4" s="85"/>
      <c r="S4" s="86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</row>
    <row r="5" spans="1:93" s="8" customFormat="1" ht="24.95" customHeight="1">
      <c r="A5" s="139"/>
      <c r="B5" s="139"/>
      <c r="C5" s="139"/>
      <c r="D5" s="139"/>
      <c r="E5" s="139"/>
      <c r="F5" s="109"/>
      <c r="G5" s="109"/>
      <c r="H5" s="151" t="s">
        <v>38</v>
      </c>
      <c r="I5" s="151"/>
      <c r="J5" s="151"/>
      <c r="K5" s="151"/>
      <c r="L5" s="151"/>
      <c r="M5" s="151"/>
      <c r="N5" s="151"/>
      <c r="O5" s="151"/>
      <c r="P5" s="151"/>
      <c r="Q5" s="152" t="s">
        <v>245</v>
      </c>
      <c r="R5" s="152"/>
      <c r="S5" s="152"/>
      <c r="T5" s="152"/>
      <c r="U5" s="152"/>
      <c r="V5" s="152"/>
      <c r="W5" s="152"/>
      <c r="X5" s="153" t="s">
        <v>69</v>
      </c>
      <c r="Y5" s="153"/>
      <c r="Z5" s="154"/>
      <c r="AA5" s="155" t="s">
        <v>70</v>
      </c>
      <c r="AB5" s="146"/>
      <c r="AC5" s="146"/>
      <c r="AD5" s="156" t="s">
        <v>68</v>
      </c>
      <c r="AE5" s="156"/>
      <c r="AF5" s="156"/>
      <c r="AG5" s="156"/>
      <c r="AH5" s="156"/>
      <c r="AI5" s="156"/>
      <c r="AJ5" s="156"/>
      <c r="AK5" s="156"/>
      <c r="AL5" s="156"/>
      <c r="AM5" s="157" t="s">
        <v>72</v>
      </c>
      <c r="AN5" s="157"/>
      <c r="AO5" s="146" t="s">
        <v>35</v>
      </c>
      <c r="AP5" s="146"/>
      <c r="AQ5" s="146"/>
      <c r="AR5" s="146"/>
      <c r="AS5" s="147"/>
      <c r="AT5" s="148" t="s">
        <v>47</v>
      </c>
      <c r="AU5" s="149"/>
      <c r="AV5" s="149"/>
      <c r="AW5" s="149"/>
      <c r="AX5" s="150" t="s">
        <v>46</v>
      </c>
      <c r="AY5" s="150"/>
      <c r="AZ5" s="150"/>
      <c r="BA5" s="150"/>
      <c r="BB5" s="150"/>
      <c r="BC5" s="150"/>
      <c r="BD5" s="150"/>
      <c r="BE5" s="150"/>
      <c r="BL5" s="9" t="s">
        <v>241</v>
      </c>
      <c r="BM5" s="9" t="s">
        <v>75</v>
      </c>
      <c r="BN5" s="9" t="s">
        <v>76</v>
      </c>
      <c r="BO5" s="9" t="s">
        <v>41</v>
      </c>
      <c r="BP5" s="9" t="s">
        <v>77</v>
      </c>
      <c r="BQ5" s="9" t="s">
        <v>8</v>
      </c>
      <c r="BR5" s="9" t="s">
        <v>43</v>
      </c>
      <c r="BS5" s="9" t="s">
        <v>44</v>
      </c>
      <c r="BT5" s="9" t="s">
        <v>2</v>
      </c>
      <c r="BU5" s="9" t="s">
        <v>78</v>
      </c>
      <c r="BV5" s="9" t="s">
        <v>79</v>
      </c>
      <c r="BW5" s="9" t="s">
        <v>80</v>
      </c>
      <c r="BX5" s="9" t="s">
        <v>3</v>
      </c>
      <c r="BY5" s="9" t="s">
        <v>81</v>
      </c>
      <c r="BZ5" s="9" t="s">
        <v>52</v>
      </c>
      <c r="CA5" s="9" t="s">
        <v>82</v>
      </c>
      <c r="CB5" s="9" t="s">
        <v>62</v>
      </c>
      <c r="CC5" s="9" t="s">
        <v>83</v>
      </c>
      <c r="CD5" s="9" t="s">
        <v>84</v>
      </c>
      <c r="CE5" s="9" t="s">
        <v>85</v>
      </c>
      <c r="CF5" s="9" t="s">
        <v>86</v>
      </c>
      <c r="CG5" s="9" t="s">
        <v>174</v>
      </c>
      <c r="CH5" s="9" t="s">
        <v>87</v>
      </c>
      <c r="CI5" s="9" t="s">
        <v>88</v>
      </c>
      <c r="CJ5" s="9" t="s">
        <v>89</v>
      </c>
      <c r="CK5" s="9" t="s">
        <v>90</v>
      </c>
      <c r="CL5" s="9" t="s">
        <v>91</v>
      </c>
      <c r="CM5" s="9" t="s">
        <v>7</v>
      </c>
      <c r="CN5" s="8" t="s">
        <v>22</v>
      </c>
      <c r="CO5" s="8" t="s">
        <v>125</v>
      </c>
    </row>
    <row r="6" spans="1:93" s="9" customFormat="1" ht="24.95" customHeight="1">
      <c r="A6" s="135" t="s">
        <v>252</v>
      </c>
      <c r="B6" s="122" t="s">
        <v>1</v>
      </c>
      <c r="C6" s="123" t="s">
        <v>408</v>
      </c>
      <c r="D6" s="123" t="s">
        <v>240</v>
      </c>
      <c r="E6" s="123" t="s">
        <v>444</v>
      </c>
      <c r="F6" s="51" t="s">
        <v>7</v>
      </c>
      <c r="G6" s="52" t="s">
        <v>414</v>
      </c>
      <c r="H6" s="60" t="s">
        <v>9</v>
      </c>
      <c r="I6" s="60" t="s">
        <v>10</v>
      </c>
      <c r="J6" s="60" t="s">
        <v>23</v>
      </c>
      <c r="K6" s="61" t="s">
        <v>24</v>
      </c>
      <c r="L6" s="60" t="s">
        <v>15</v>
      </c>
      <c r="M6" s="60" t="s">
        <v>16</v>
      </c>
      <c r="N6" s="60" t="s">
        <v>22</v>
      </c>
      <c r="O6" s="60" t="s">
        <v>244</v>
      </c>
      <c r="P6" s="60" t="s">
        <v>280</v>
      </c>
      <c r="Q6" s="130" t="s">
        <v>394</v>
      </c>
      <c r="R6" s="130" t="s">
        <v>270</v>
      </c>
      <c r="S6" s="130" t="s">
        <v>27</v>
      </c>
      <c r="T6" s="130" t="s">
        <v>269</v>
      </c>
      <c r="U6" s="130" t="s">
        <v>273</v>
      </c>
      <c r="V6" s="130" t="s">
        <v>262</v>
      </c>
      <c r="W6" s="130" t="s">
        <v>45</v>
      </c>
      <c r="X6" s="58" t="s">
        <v>28</v>
      </c>
      <c r="Y6" s="55" t="s">
        <v>271</v>
      </c>
      <c r="Z6" s="55" t="s">
        <v>26</v>
      </c>
      <c r="AA6" s="62" t="s">
        <v>50</v>
      </c>
      <c r="AB6" s="62" t="s">
        <v>25</v>
      </c>
      <c r="AC6" s="62" t="s">
        <v>30</v>
      </c>
      <c r="AD6" s="63" t="s">
        <v>31</v>
      </c>
      <c r="AE6" s="63" t="s">
        <v>18</v>
      </c>
      <c r="AF6" s="63" t="s">
        <v>19</v>
      </c>
      <c r="AG6" s="63" t="s">
        <v>21</v>
      </c>
      <c r="AH6" s="63" t="s">
        <v>274</v>
      </c>
      <c r="AI6" s="63" t="s">
        <v>275</v>
      </c>
      <c r="AJ6" s="63" t="s">
        <v>276</v>
      </c>
      <c r="AK6" s="63" t="s">
        <v>277</v>
      </c>
      <c r="AL6" s="63" t="s">
        <v>278</v>
      </c>
      <c r="AM6" s="64" t="s">
        <v>20</v>
      </c>
      <c r="AN6" s="65" t="s">
        <v>29</v>
      </c>
      <c r="AO6" s="66" t="s">
        <v>71</v>
      </c>
      <c r="AP6" s="66" t="s">
        <v>49</v>
      </c>
      <c r="AQ6" s="66" t="s">
        <v>73</v>
      </c>
      <c r="AR6" s="66" t="s">
        <v>48</v>
      </c>
      <c r="AS6" s="66" t="s">
        <v>171</v>
      </c>
      <c r="AT6" s="67" t="s">
        <v>33</v>
      </c>
      <c r="AU6" s="68" t="s">
        <v>32</v>
      </c>
      <c r="AV6" s="68" t="s">
        <v>34</v>
      </c>
      <c r="AW6" s="68" t="s">
        <v>37</v>
      </c>
      <c r="AX6" s="59" t="s">
        <v>17</v>
      </c>
      <c r="AY6" s="69" t="s">
        <v>175</v>
      </c>
      <c r="AZ6" s="59" t="s">
        <v>39</v>
      </c>
      <c r="BA6" s="70" t="s">
        <v>282</v>
      </c>
      <c r="BB6" s="70" t="s">
        <v>478</v>
      </c>
      <c r="BC6" s="71" t="s">
        <v>283</v>
      </c>
      <c r="BD6" s="71" t="s">
        <v>74</v>
      </c>
      <c r="BE6" s="71" t="s">
        <v>284</v>
      </c>
      <c r="BF6" s="72" t="s">
        <v>254</v>
      </c>
      <c r="BG6" s="110"/>
      <c r="BH6" s="110"/>
      <c r="BI6" s="110"/>
      <c r="BK6" s="2"/>
      <c r="BL6" s="9" t="s">
        <v>238</v>
      </c>
      <c r="BM6" s="111" t="s">
        <v>92</v>
      </c>
      <c r="BN6" s="112" t="s">
        <v>93</v>
      </c>
      <c r="BO6" s="112" t="s">
        <v>94</v>
      </c>
      <c r="BP6" s="112" t="s">
        <v>95</v>
      </c>
      <c r="BQ6" s="112" t="s">
        <v>96</v>
      </c>
      <c r="BR6" s="112" t="s">
        <v>97</v>
      </c>
      <c r="BS6" s="112" t="s">
        <v>98</v>
      </c>
      <c r="BT6" s="112" t="s">
        <v>99</v>
      </c>
      <c r="BU6" s="112" t="s">
        <v>100</v>
      </c>
      <c r="BV6" s="112" t="s">
        <v>101</v>
      </c>
      <c r="BW6" s="112" t="s">
        <v>102</v>
      </c>
      <c r="BX6" s="112" t="s">
        <v>103</v>
      </c>
      <c r="BY6" s="112" t="s">
        <v>104</v>
      </c>
      <c r="BZ6" s="112" t="s">
        <v>105</v>
      </c>
      <c r="CA6" s="112" t="s">
        <v>106</v>
      </c>
      <c r="CB6" s="112" t="s">
        <v>107</v>
      </c>
      <c r="CC6" s="112" t="s">
        <v>108</v>
      </c>
      <c r="CD6" s="112" t="s">
        <v>109</v>
      </c>
      <c r="CE6" s="112" t="s">
        <v>110</v>
      </c>
      <c r="CF6" s="112" t="s">
        <v>111</v>
      </c>
      <c r="CG6" s="112" t="s">
        <v>112</v>
      </c>
      <c r="CH6" s="112" t="s">
        <v>113</v>
      </c>
      <c r="CI6" s="112" t="s">
        <v>114</v>
      </c>
      <c r="CJ6" s="112" t="s">
        <v>115</v>
      </c>
      <c r="CK6" s="112" t="s">
        <v>116</v>
      </c>
      <c r="CL6" s="112" t="s">
        <v>117</v>
      </c>
      <c r="CM6" s="112" t="s">
        <v>118</v>
      </c>
      <c r="CN6" s="112" t="s">
        <v>123</v>
      </c>
      <c r="CO6" s="112" t="s">
        <v>124</v>
      </c>
    </row>
    <row r="7" spans="1:93" ht="24.95" customHeight="1">
      <c r="A7" s="135" t="str">
        <f>_xlfn.XLOOKUP(Data15272025121621[[#This Row],[کد ملی]],emp_info[کد ملی],emp_info[گروه])</f>
        <v>شاغل</v>
      </c>
      <c r="B7" s="121">
        <f>ROWS($A$1:A1)</f>
        <v>1</v>
      </c>
      <c r="C7" s="135">
        <f>_xlfn.XLOOKUP(Data15272025121621[[#This Row],[کد ملی]],emp_info[کد ملی],emp_info[maliat])</f>
        <v>1</v>
      </c>
      <c r="D7" s="135">
        <f>_xlfn.XLOOKUP(Data15272025121621[[#This Row],[کد ملی]],emp_info[کد ملی],emp_info[بیمه])</f>
        <v>1</v>
      </c>
      <c r="E7" s="135">
        <f>_xlfn.XLOOKUP(Data15272025121621[[#This Row],[کد ملی]],emp_info[کد ملی],emp_info[bank])</f>
        <v>1</v>
      </c>
      <c r="F7" s="47">
        <v>2452304301</v>
      </c>
      <c r="G7" s="47" t="str">
        <f>_xlfn.XLOOKUP(Data15272025121621[[#This Row],[کد ملی]],emp_info[کد ملی],emp_info[نام])&amp;" "&amp;_xlfn.XLOOKUP(Data15272025121621[[#This Row],[کد ملی]],emp_info[کد ملی],emp_info[نام خانوادگی])</f>
        <v>حسین اکبری</v>
      </c>
      <c r="H7" s="47" t="str">
        <f>_xlfn.XLOOKUP(Data15272025121621[[#This Row],[کد ملی]],emp_info[کد ملی],emp_info[وضعیت تاهل],"یافت نشد")</f>
        <v>مجرد</v>
      </c>
      <c r="I7" s="47">
        <f>_xlfn.XLOOKUP(Data15272025121621[[#This Row],[کد ملی]],emp_info[کد ملی],emp_info[تعداد فرزند],"یافت نشد")</f>
        <v>0</v>
      </c>
      <c r="J7" s="47">
        <f>_xlfn.XLOOKUP(Data15272025121621[[#This Row],[کد ملی]],emp_info[کد ملی],emp_info[ساعت کار قرارداد شده],"یافت نشد")</f>
        <v>230</v>
      </c>
      <c r="K7" s="53">
        <f>_xlfn.XLOOKUP(Data15272025121621[[#This Row],[کد ملی]],emp_info[کد ملی],emp_info[حقوق قرارداد شده],"یافت نشد")</f>
        <v>650000000</v>
      </c>
      <c r="L7" s="47">
        <f>_xlfn.XLOOKUP(Data15272025121621[[#This Row],[کد ملی]],emp_info[کد ملی],emp_info[گروه شغلی],"یافت نشد")</f>
        <v>19</v>
      </c>
      <c r="M7" s="48">
        <f>_xlfn.XLOOKUP(Data15272025121621[[#This Row],[کد ملی]],emp_info[کد ملی],emp_info[[مزد روزانه ]],"یافت نشد")</f>
        <v>6572696</v>
      </c>
      <c r="N7" s="47">
        <f>_xlfn.XLOOKUP(Data15272025121621[[#This Row],[کد ملی]],emp_info[کد ملی],emp_info[پایه سنواتی],"یافت نشد")</f>
        <v>171867</v>
      </c>
      <c r="O7" s="47">
        <f>_xlfn.XLOOKUP(Data15272025121621[[#This Row],[کد ملی]],emp_info[کد ملی],emp_info[تعداد سال کارکرد],"یافت نشد")</f>
        <v>0</v>
      </c>
      <c r="P7" s="47">
        <f>_xlfn.XLOOKUP(Data15272025121621[[#This Row],[کد ملی]],emp_info[کد ملی],emp_info[مزد مبنا],"یافت نشد")</f>
        <v>6572696</v>
      </c>
      <c r="Q7" s="47">
        <v>442</v>
      </c>
      <c r="R7" s="47">
        <v>31</v>
      </c>
      <c r="S7" s="47">
        <v>0</v>
      </c>
      <c r="T7" s="47">
        <v>0</v>
      </c>
      <c r="U7" s="49">
        <f>TRUNC(Data15272025121621[[#This Row],[حق ماموریت]]/Data15272025121621[[#This Row],[مزد مبنا]])</f>
        <v>30</v>
      </c>
      <c r="V7" s="47">
        <v>15681217</v>
      </c>
      <c r="W7" s="53">
        <v>0</v>
      </c>
      <c r="X7" s="53">
        <v>0</v>
      </c>
      <c r="Y7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7" s="49">
        <v>472040819.5</v>
      </c>
      <c r="AA7" s="49" cm="1">
        <f t="array" ref="AA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269380892</v>
      </c>
      <c r="AB7" s="49" cm="1">
        <f t="array" ref="AB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202659927</v>
      </c>
      <c r="AC7" s="53" cm="1">
        <f t="array" ref="AC7">ROUND(5*Data15272025121621[[#This Row],[مزد مبنا]]*(Data15272025121621[[#This Row],[روز بیمه]]/list_info302332152027[تعداد روز ماه]),0)</f>
        <v>32863480</v>
      </c>
      <c r="AD7" s="53">
        <f>ROUND(2.5*(Data15272025121621[[#This Row],[پایه سنواتی]]+Data15272025121621[[#This Row],[مزد روزانه ]])*0,0)</f>
        <v>0</v>
      </c>
      <c r="AE7" s="48" cm="1">
        <f t="array" ref="AE7">ROUND(22000000*Data15272025121621[[#This Row],[روز بیمه]]/list_info302332152027[تعداد روز ماه],0)</f>
        <v>22000000</v>
      </c>
      <c r="AF7" s="48" cm="1">
        <f t="array" ref="AF7">ROUND(list_info302332152027[حق مسکن]*Data15272025121621[[#This Row],[روز بیمه]]/list_info302332152027[تعداد روز ماه],0)</f>
        <v>30000000</v>
      </c>
      <c r="AG7" s="47" cm="1">
        <f t="array" ref="AG7">ROUND(IF(Data15272025121621[[#This Row],[وضعیت تاهل]]="متاهل",list_info302332152027[حق تاهل],0)*Data15272025121621[[#This Row],[روز بیمه]]/list_info302332152027[تعداد روز ماه],0)</f>
        <v>0</v>
      </c>
      <c r="AH7" s="47" cm="1">
        <f t="array" ref="AH7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7" s="57" cm="1">
        <f t="array" ref="AI7">list_info302332152027[[درصد فوق العاده جذب تخصصی ماهیانه ]]*Data15272025121621[[#This Row],[مزد روزانه ]]*Data15272025121621[[#This Row],[روز بیمه]]</f>
        <v>0</v>
      </c>
      <c r="AJ7" s="57" cm="1">
        <f t="array" ref="AJ7">list_info302332152027[درصد فوق العاده بدی آب و هوا]*Data15272025121621[[#This Row],[مزد روزانه ]]*Data15272025121621[[#This Row],[روز بیمه]]</f>
        <v>0</v>
      </c>
      <c r="AK7" s="57" cm="1">
        <f t="array" ref="AK7">list_info302332152027[[فوق العاده جذب تخصصی دوری از خانواده ]]*Data15272025121621[[#This Row],[مزد روزانه ]]*Data15272025121621[[#This Row],[روز بیمه]]</f>
        <v>0</v>
      </c>
      <c r="AL7" s="57" cm="1">
        <f t="array" ref="AL7">list_info302332152027[فوق العاده پارس جنوبی]*Data15272025121621[[#This Row],[مزد روزانه ]]*Data15272025121621[[#This Row],[روز بیمه]]</f>
        <v>0</v>
      </c>
      <c r="AM7" s="53" cm="1">
        <f t="array" ref="AM7">ROUND((Data15272025121621[[#This Row],[روز بیمه]]/list_info302332152027[تعداد روز ماه])*Data15272025121621[[#This Row],[تعداد فرزند]]*list_info302332152027[حق اولاد],0)</f>
        <v>0</v>
      </c>
      <c r="AN7" s="53" cm="1">
        <f t="array" ref="AN7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16431740</v>
      </c>
      <c r="AO7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524040820</v>
      </c>
      <c r="AP7" s="48">
        <f>ROUND(Data15272025121621[[#This Row],[سایر مزایا]]+Data15272025121621[[#This Row],[اضافه کار]]+Data15272025121621[[#This Row],[جمعه کاری]],0)</f>
        <v>472040820</v>
      </c>
      <c r="AQ7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7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521336039</v>
      </c>
      <c r="AS7" s="47">
        <f>Data15272025121621[[#This Row],[روز بیمه]]*Data15272025121621[[#This Row],[پایه سنواتی]]*Data15272025121621[[#This Row],[تعداد سال کارکرد]]</f>
        <v>0</v>
      </c>
      <c r="AT7" s="53">
        <f>ROUND(Data15272025121621[[#This Row],[جمع حقوق و مزایا مشمول بیمه]]*0.07,0)</f>
        <v>50945608</v>
      </c>
      <c r="AU7" s="53">
        <f>ROUND(Data15272025121621[[#This Row],[جمع حقوق و مزایا مشمول بیمه]]*0.2,0)</f>
        <v>145558879</v>
      </c>
      <c r="AV7" s="53">
        <f>ROUND(Data15272025121621[[#This Row],[جمع حقوق و مزایا مشمول بیمه]]*0.03,0)</f>
        <v>21833832</v>
      </c>
      <c r="AW7" s="53">
        <f>Data15272025121621[[#This Row],[بیمه بیکاری]]+Data15272025121621[[#This Row],[بیمه سهم کارفرما]]+Data15272025121621[[#This Row],[بیمه سهم کارگر]]</f>
        <v>218338319</v>
      </c>
      <c r="AX7" s="48">
        <f>Data15272025121621[[#This Row],[روز بیمه]]*Data15272025121621[[#This Row],[مزد مبنا]]</f>
        <v>203753576</v>
      </c>
      <c r="AY7" s="48">
        <f>Data15272025121621[[#This Row],[حقوق پایه]]+Data15272025121621[[#This Row],[مزایا مستمر مشمول مالیات]]</f>
        <v>255753576</v>
      </c>
      <c r="AZ7" s="49">
        <f>(Data15272025121621[[#This Row],[حقوق پایه]]+Data15272025121621[[#This Row],[ مزایا مشمول]])*Data15272025121621[[#This Row],[بیمه]]</f>
        <v>727794396</v>
      </c>
      <c r="BA7" s="54">
        <f>ROUND(((Data15272025121621[[#This Row],[ساعت کارکرد]]/Data15272025121621[[#This Row],[کارکرد قرارداد شده]])*Data15272025121621[[#This Row],[حقوق قرارداد شده]]),0)</f>
        <v>1249130435</v>
      </c>
      <c r="BB7" s="54">
        <f>Data15272025121621[[#This Row],[بیمه سهم کارگر]]</f>
        <v>50945608</v>
      </c>
      <c r="BC7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1182503609</v>
      </c>
      <c r="BD7" s="124" t="str">
        <f>_xlfn.XLOOKUP(Data15272025121621[[#This Row],[کد ملی]],emp_info[کد ملی],emp_info[شماره حساب])</f>
        <v>0341424618008</v>
      </c>
      <c r="BE7" s="50">
        <f>TRUNC(Data15272025121621[[#This Row],[حقوق خالص]]-Data15272025121621[[#This Row],[کسر مساعده]])</f>
        <v>1182503609</v>
      </c>
      <c r="BF7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G7" s="113"/>
      <c r="BH7" s="113">
        <v>538761785</v>
      </c>
      <c r="BI7" s="113">
        <v>405319854</v>
      </c>
      <c r="BJ7" s="113">
        <f>(BH7+BI7)*0.5</f>
        <v>472040819.5</v>
      </c>
      <c r="BL7" s="2">
        <f>Data15272025121621[[#This Row],[بیمه]]</f>
        <v>1</v>
      </c>
      <c r="BM7" s="114" t="str" cm="1">
        <f t="array" ref="BM7">DSKKAR1817292231141823[DSK_ID]</f>
        <v>4894290013</v>
      </c>
      <c r="BN7" s="115" t="str" cm="1">
        <f t="array" ref="BN7">DSKKAR1817292231141823[DSK_YY]</f>
        <v>05</v>
      </c>
      <c r="BO7" s="115" t="str" cm="1">
        <f t="array" ref="BO7">DSKKAR1817292231141823[DSK_MM]</f>
        <v>04</v>
      </c>
      <c r="BP7" s="116" t="str" cm="1">
        <f t="array" ref="BP7">DSKKAR1817292231141823[DSK_LISTNO]</f>
        <v>01</v>
      </c>
      <c r="BQ7" s="117">
        <f>_xlfn.XLOOKUP(Data15272025121621[[#This Row],[کد ملی]],emp_info[کد ملی],emp_info[شماره بیمه],"یافت نشد")</f>
        <v>63605949</v>
      </c>
      <c r="BR7" s="116" t="str">
        <f>_xlfn.XLOOKUP(Data15272025121621[[#This Row],[کد ملی]],emp_info[کد ملی],emp_info[نام],"یافت نشد")</f>
        <v>حسین</v>
      </c>
      <c r="BS7" s="116" t="str">
        <f>_xlfn.XLOOKUP(Data15272025121621[[#This Row],[کد ملی]],emp_info[کد ملی],emp_info[نام خانوادگی],"یافت نشد")</f>
        <v>اکبری</v>
      </c>
      <c r="BT7" s="116" t="str">
        <f>_xlfn.XLOOKUP(Data15272025121621[[#This Row],[کد ملی]],emp_info[کد ملی],emp_info[نام  پدر],"یافت نشد")</f>
        <v>علی اکبر</v>
      </c>
      <c r="BU7" s="116">
        <f>_xlfn.XLOOKUP(Data15272025121621[[#This Row],[کد ملی]],emp_info[کد ملی],emp_info[شماره شناسنامه],"یافت نشد")</f>
        <v>1192</v>
      </c>
      <c r="BV7" s="116" t="str">
        <f>_xlfn.XLOOKUP(Data15272025121621[[#This Row],[کد ملی]],emp_info[کد ملی],emp_info[محل صدور],"یافت نشد")</f>
        <v>فیروزاباد</v>
      </c>
      <c r="BW7" s="116">
        <f>_xlfn.XLOOKUP(Data15272025121621[[#This Row],[کد ملی]],emp_info[کد ملی],emp_info[تاریخ صدور],"یافت نشد")</f>
        <v>0</v>
      </c>
      <c r="BX7" s="116">
        <f>_xlfn.XLOOKUP(Data15272025121621[[#This Row],[کد ملی]],emp_info[کد ملی],emp_info[تاریخ تولد],"یافت نشد")</f>
        <v>13650308</v>
      </c>
      <c r="BY7" s="116" t="str">
        <f>_xlfn.XLOOKUP(Data15272025121621[[#This Row],[کد ملی]],emp_info[کد ملی],emp_info[جنسیت],"یافت نشد")</f>
        <v>مرد</v>
      </c>
      <c r="BZ7" s="116" t="s">
        <v>122</v>
      </c>
      <c r="CA7" s="116" t="str">
        <f>_xlfn.XLOOKUP(Data15272025121621[[#This Row],[کد ملی]],emp_info[کد ملی],emp_info[سمت شغل],"یافت نشد")</f>
        <v>مديرپروژه</v>
      </c>
      <c r="CB7" s="116">
        <f>_xlfn.XLOOKUP(Data15272025121621[[#This Row],[کد ملی]],emp_info[کد ملی],emp_info[تاریخ شروع به کار],"یافت نشد")</f>
        <v>14040901</v>
      </c>
      <c r="CC7" s="118">
        <f>_xlfn.XLOOKUP(Data15272025121621[[#This Row],[کد ملی]],emp_info[کد ملی],emp_info[ [ تاریخ پایان کار] ],"یافت نشد")</f>
        <v>0</v>
      </c>
      <c r="CD7" s="118">
        <f>Data15272025121621[[#This Row],[روز بیمه]]</f>
        <v>31</v>
      </c>
      <c r="CE7" s="118">
        <f>Data15272025121621[[#This Row],[مزد روزانه ]]</f>
        <v>6572696</v>
      </c>
      <c r="CF7" s="118">
        <f>Data15272025121621[[#This Row],[حقوق پایه]]</f>
        <v>203753576</v>
      </c>
      <c r="CG7" s="118">
        <f>Data15272025121621[[#This Row],[ مزایا مشمول]]</f>
        <v>524040820</v>
      </c>
      <c r="CH7" s="118">
        <f>Data15272025121621[[#This Row],[جمع حقوق و مزایا مشمول بیمه]]</f>
        <v>727794396</v>
      </c>
      <c r="CI7" s="117">
        <f>Data15272025121621[[#This Row],[حقوق ناخالص]]</f>
        <v>1249130435</v>
      </c>
      <c r="CJ7" s="117">
        <f>Data15272025121621[[#This Row],[بیمه سهم کارگر]]</f>
        <v>50945608</v>
      </c>
      <c r="CK7" s="116">
        <v>0</v>
      </c>
      <c r="CL7" s="116" t="str">
        <f>TEXT(_xlfn.XLOOKUP(Data15272025121621[[#This Row],[کد ملی]],emp_info[کد ملی],emp_info[کد شغل],"یافت نشد"),"000000")</f>
        <v>027212</v>
      </c>
      <c r="CM7" s="116">
        <f>Data15272025121621[[#This Row],[کد ملی]]</f>
        <v>2452304301</v>
      </c>
      <c r="CN7" s="116">
        <f>Data15272025121621[[#This Row],[پایه سنواتی]]*Data15272025121621[[#This Row],[تعداد سال کارکرد]]</f>
        <v>0</v>
      </c>
      <c r="CO7" s="117">
        <f>Data15272025121621[[#This Row],[حق تاهل]]</f>
        <v>0</v>
      </c>
    </row>
    <row r="8" spans="1:93" s="3" customFormat="1" ht="24.95" customHeight="1">
      <c r="A8" s="135" t="str">
        <f>_xlfn.XLOOKUP(Data15272025121621[[#This Row],[کد ملی]],emp_info[کد ملی],emp_info[گروه])</f>
        <v>شاغل</v>
      </c>
      <c r="B8" s="121">
        <f>ROWS($A$1:A2)</f>
        <v>2</v>
      </c>
      <c r="C8" s="121">
        <f>_xlfn.XLOOKUP(Data15272025121621[[#This Row],[کد ملی]],emp_info[کد ملی],emp_info[maliat])</f>
        <v>1</v>
      </c>
      <c r="D8" s="121">
        <f>_xlfn.XLOOKUP(Data15272025121621[[#This Row],[کد ملی]],emp_info[کد ملی],emp_info[بیمه])</f>
        <v>1</v>
      </c>
      <c r="E8" s="121">
        <f>_xlfn.XLOOKUP(Data15272025121621[[#This Row],[کد ملی]],emp_info[کد ملی],emp_info[bank])</f>
        <v>1</v>
      </c>
      <c r="F8" s="47">
        <v>4260006134</v>
      </c>
      <c r="G8" s="47" t="str">
        <f>_xlfn.XLOOKUP(Data15272025121621[[#This Row],[کد ملی]],emp_info[کد ملی],emp_info[نام])&amp;" "&amp;_xlfn.XLOOKUP(Data15272025121621[[#This Row],[کد ملی]],emp_info[کد ملی],emp_info[نام خانوادگی])</f>
        <v>علیرضا عالیشوندی</v>
      </c>
      <c r="H8" s="47" t="str">
        <f>_xlfn.XLOOKUP(Data15272025121621[[#This Row],[کد ملی]],emp_info[کد ملی],emp_info[وضعیت تاهل],"یافت نشد")</f>
        <v>متاهل</v>
      </c>
      <c r="I8" s="47">
        <f>_xlfn.XLOOKUP(Data15272025121621[[#This Row],[کد ملی]],emp_info[کد ملی],emp_info[تعداد فرزند],"یافت نشد")</f>
        <v>0</v>
      </c>
      <c r="J8" s="47">
        <f>_xlfn.XLOOKUP(Data15272025121621[[#This Row],[کد ملی]],emp_info[کد ملی],emp_info[ساعت کار قرارداد شده],"یافت نشد")</f>
        <v>230</v>
      </c>
      <c r="K8" s="53">
        <f>_xlfn.XLOOKUP(Data15272025121621[[#This Row],[کد ملی]],emp_info[کد ملی],emp_info[حقوق قرارداد شده],"یافت نشد")</f>
        <v>550000000</v>
      </c>
      <c r="L8" s="47">
        <f>_xlfn.XLOOKUP(Data15272025121621[[#This Row],[کد ملی]],emp_info[کد ملی],emp_info[گروه شغلی],"یافت نشد")</f>
        <v>13</v>
      </c>
      <c r="M8" s="48">
        <f>_xlfn.XLOOKUP(Data15272025121621[[#This Row],[کد ملی]],emp_info[کد ملی],emp_info[[مزد روزانه ]],"یافت نشد")</f>
        <v>6044057</v>
      </c>
      <c r="N8" s="47">
        <f>_xlfn.XLOOKUP(Data15272025121621[[#This Row],[کد ملی]],emp_info[کد ملی],emp_info[پایه سنواتی],"یافت نشد")</f>
        <v>169467</v>
      </c>
      <c r="O8" s="47">
        <f>_xlfn.XLOOKUP(Data15272025121621[[#This Row],[کد ملی]],emp_info[کد ملی],emp_info[تعداد سال کارکرد],"یافت نشد")</f>
        <v>7</v>
      </c>
      <c r="P8" s="47">
        <f>_xlfn.XLOOKUP(Data15272025121621[[#This Row],[کد ملی]],emp_info[کد ملی],emp_info[مزد مبنا],"یافت نشد")</f>
        <v>7230326</v>
      </c>
      <c r="Q8" s="47">
        <v>230</v>
      </c>
      <c r="R8" s="47">
        <v>31</v>
      </c>
      <c r="S8" s="47">
        <v>0</v>
      </c>
      <c r="T8" s="47">
        <f>ROUND(Data15272025121621[[#This Row],[ساعت کارکرد]]/70,0)</f>
        <v>3</v>
      </c>
      <c r="U8" s="49">
        <f>TRUNC(Data15272025121621[[#This Row],[حق ماموریت]]/Data15272025121621[[#This Row],[مزد مبنا]])</f>
        <v>4</v>
      </c>
      <c r="V8" s="47">
        <v>0</v>
      </c>
      <c r="W8" s="53">
        <v>0</v>
      </c>
      <c r="X8" s="53">
        <v>0</v>
      </c>
      <c r="Y8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8676391.2000000011</v>
      </c>
      <c r="Z8" s="53">
        <v>126525468.5</v>
      </c>
      <c r="AA8" s="49" cm="1">
        <f t="array" ref="AA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43461921</v>
      </c>
      <c r="AB8" s="49" cm="1">
        <f t="array" ref="AB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35968668</v>
      </c>
      <c r="AC8" s="53" cm="1">
        <f t="array" ref="AC8">ROUND(5*Data15272025121621[[#This Row],[مزد مبنا]]*(Data15272025121621[[#This Row],[روز بیمه]]/list_info302332152027[تعداد روز ماه]),0)</f>
        <v>36151630</v>
      </c>
      <c r="AD8" s="53">
        <f>ROUND(2.5*(Data15272025121621[[#This Row],[پایه سنواتی]]+Data15272025121621[[#This Row],[مزد روزانه ]])*0,0)</f>
        <v>0</v>
      </c>
      <c r="AE8" s="48" cm="1">
        <f t="array" ref="AE8">ROUND(22000000*Data15272025121621[[#This Row],[روز بیمه]]/list_info302332152027[تعداد روز ماه],0)</f>
        <v>22000000</v>
      </c>
      <c r="AF8" s="48" cm="1">
        <f t="array" ref="AF8">ROUND(list_info302332152027[حق مسکن]*Data15272025121621[[#This Row],[روز بیمه]]/list_info302332152027[تعداد روز ماه],0)</f>
        <v>30000000</v>
      </c>
      <c r="AG8" s="47" cm="1">
        <f t="array" ref="AG8">ROUND(IF(Data15272025121621[[#This Row],[وضعیت تاهل]]="متاهل",list_info302332152027[حق تاهل],0)*Data15272025121621[[#This Row],[روز بیمه]]/list_info302332152027[تعداد روز ماه],0)</f>
        <v>5000000</v>
      </c>
      <c r="AH8" s="47" cm="1">
        <f t="array" ref="AH8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8" s="57" cm="1">
        <f t="array" ref="AI8">list_info302332152027[[درصد فوق العاده جذب تخصصی ماهیانه ]]*Data15272025121621[[#This Row],[مزد روزانه ]]*Data15272025121621[[#This Row],[روز بیمه]]</f>
        <v>0</v>
      </c>
      <c r="AJ8" s="57" cm="1">
        <f t="array" ref="AJ8">list_info302332152027[درصد فوق العاده بدی آب و هوا]*Data15272025121621[[#This Row],[مزد روزانه ]]*Data15272025121621[[#This Row],[روز بیمه]]</f>
        <v>0</v>
      </c>
      <c r="AK8" s="57" cm="1">
        <f t="array" ref="AK8">list_info302332152027[[فوق العاده جذب تخصصی دوری از خانواده ]]*Data15272025121621[[#This Row],[مزد روزانه ]]*Data15272025121621[[#This Row],[روز بیمه]]</f>
        <v>0</v>
      </c>
      <c r="AL8" s="57" cm="1">
        <f t="array" ref="AL8">list_info302332152027[فوق العاده پارس جنوبی]*Data15272025121621[[#This Row],[مزد روزانه ]]*Data15272025121621[[#This Row],[روز بیمه]]</f>
        <v>0</v>
      </c>
      <c r="AM8" s="53" cm="1">
        <f t="array" ref="AM8">ROUND((Data15272025121621[[#This Row],[روز بیمه]]/list_info302332152027[تعداد روز ماه])*Data15272025121621[[#This Row],[تعداد فرزند]]*list_info302332152027[حق اولاد],0)</f>
        <v>0</v>
      </c>
      <c r="AN8" s="53" cm="1">
        <f t="array" ref="AN8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18075815</v>
      </c>
      <c r="AO8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192201860</v>
      </c>
      <c r="AP8" s="48">
        <f>ROUND(Data15272025121621[[#This Row],[سایر مزایا]]+Data15272025121621[[#This Row],[اضافه کار]]+Data15272025121621[[#This Row],[جمعه کاری]],0)</f>
        <v>135201860</v>
      </c>
      <c r="AQ8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57000000</v>
      </c>
      <c r="AR8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133658034</v>
      </c>
      <c r="AS8" s="47">
        <f>Data15272025121621[[#This Row],[روز بیمه]]*Data15272025121621[[#This Row],[پایه سنواتی]]*Data15272025121621[[#This Row],[تعداد سال کارکرد]]</f>
        <v>36774339</v>
      </c>
      <c r="AT8" s="53">
        <f>ROUND(Data15272025121621[[#This Row],[جمع حقوق و مزایا مشمول بیمه]]*0.07,0)</f>
        <v>29143938</v>
      </c>
      <c r="AU8" s="53">
        <f>ROUND(Data15272025121621[[#This Row],[جمع حقوق و مزایا مشمول بیمه]]*0.2,0)</f>
        <v>83268393</v>
      </c>
      <c r="AV8" s="53">
        <f>ROUND(Data15272025121621[[#This Row],[جمع حقوق و مزایا مشمول بیمه]]*0.03,0)</f>
        <v>12490259</v>
      </c>
      <c r="AW8" s="53">
        <f>Data15272025121621[[#This Row],[بیمه بیکاری]]+Data15272025121621[[#This Row],[بیمه سهم کارفرما]]+Data15272025121621[[#This Row],[بیمه سهم کارگر]]</f>
        <v>124902590</v>
      </c>
      <c r="AX8" s="48">
        <f>Data15272025121621[[#This Row],[روز بیمه]]*Data15272025121621[[#This Row],[مزد مبنا]]</f>
        <v>224140106</v>
      </c>
      <c r="AY8" s="48">
        <f>Data15272025121621[[#This Row],[حقوق پایه]]+Data15272025121621[[#This Row],[مزایا مستمر مشمول مالیات]]</f>
        <v>281140106</v>
      </c>
      <c r="AZ8" s="49">
        <f>(Data15272025121621[[#This Row],[حقوق پایه]]+Data15272025121621[[#This Row],[ مزایا مشمول]])*Data15272025121621[[#This Row],[بیمه]]</f>
        <v>416341966</v>
      </c>
      <c r="BA8" s="54">
        <f>ROUND(((Data15272025121621[[#This Row],[ساعت کارکرد]]/Data15272025121621[[#This Row],[کارکرد قرارداد شده]])*Data15272025121621[[#This Row],[حقوق قرارداد شده]]),0)</f>
        <v>550000000</v>
      </c>
      <c r="BB8" s="54">
        <f>Data15272025121621[[#This Row],[بیمه سهم کارگر]]</f>
        <v>29143938</v>
      </c>
      <c r="BC8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520856062</v>
      </c>
      <c r="BD8" s="125" t="str">
        <f>_xlfn.XLOOKUP(Data15272025121621[[#This Row],[کد ملی]],emp_info[کد ملی],emp_info[شماره حساب])</f>
        <v>0316916557002</v>
      </c>
      <c r="BE8" s="50">
        <f>TRUNC(Data15272025121621[[#This Row],[حقوق خالص]]-Data15272025121621[[#This Row],[کسر مساعده]])</f>
        <v>520856062</v>
      </c>
      <c r="BF8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-0.29999995231628418</v>
      </c>
      <c r="BG8" s="113">
        <f>BE10-BG9</f>
        <v>1500000000</v>
      </c>
      <c r="BH8" s="113">
        <v>149574191</v>
      </c>
      <c r="BI8" s="113">
        <v>103476746</v>
      </c>
      <c r="BJ8" s="20">
        <f t="shared" ref="BJ8:BJ41" si="0">(BH8+BI8)*0.5</f>
        <v>126525468.5</v>
      </c>
      <c r="BK8" s="2"/>
      <c r="BL8" s="2">
        <f>Data15272025121621[[#This Row],[بیمه]]</f>
        <v>1</v>
      </c>
      <c r="BM8" s="114" t="str" cm="1">
        <f t="array" ref="BM8">DSKKAR1817292231141823[DSK_ID]</f>
        <v>4894290013</v>
      </c>
      <c r="BN8" s="115" t="str" cm="1">
        <f t="array" ref="BN8">DSKKAR1817292231141823[DSK_YY]</f>
        <v>05</v>
      </c>
      <c r="BO8" s="115" t="str" cm="1">
        <f t="array" ref="BO8">DSKKAR1817292231141823[DSK_MM]</f>
        <v>04</v>
      </c>
      <c r="BP8" s="116" t="str" cm="1">
        <f t="array" ref="BP8">DSKKAR1817292231141823[DSK_LISTNO]</f>
        <v>01</v>
      </c>
      <c r="BQ8" s="117">
        <f>_xlfn.XLOOKUP(Data15272025121621[[#This Row],[کد ملی]],emp_info[کد ملی],emp_info[شماره بیمه],"یافت نشد")</f>
        <v>85547385</v>
      </c>
      <c r="BR8" s="116" t="str">
        <f>_xlfn.XLOOKUP(Data15272025121621[[#This Row],[کد ملی]],emp_info[کد ملی],emp_info[نام],"یافت نشد")</f>
        <v>علیرضا</v>
      </c>
      <c r="BS8" s="116" t="str">
        <f>_xlfn.XLOOKUP(Data15272025121621[[#This Row],[کد ملی]],emp_info[کد ملی],emp_info[نام خانوادگی],"یافت نشد")</f>
        <v>عالیشوندی</v>
      </c>
      <c r="BT8" s="116" t="str">
        <f>_xlfn.XLOOKUP(Data15272025121621[[#This Row],[کد ملی]],emp_info[کد ملی],emp_info[نام  پدر],"یافت نشد")</f>
        <v>مراد</v>
      </c>
      <c r="BU8" s="116">
        <f>_xlfn.XLOOKUP(Data15272025121621[[#This Row],[کد ملی]],emp_info[کد ملی],emp_info[شماره شناسنامه],"یافت نشد")</f>
        <v>4260006134</v>
      </c>
      <c r="BV8" s="116" t="str">
        <f>_xlfn.XLOOKUP(Data15272025121621[[#This Row],[کد ملی]],emp_info[کد ملی],emp_info[محل صدور],"یافت نشد")</f>
        <v>گچساران</v>
      </c>
      <c r="BW8" s="116">
        <f>_xlfn.XLOOKUP(Data15272025121621[[#This Row],[کد ملی]],emp_info[کد ملی],emp_info[تاریخ صدور],"یافت نشد")</f>
        <v>0</v>
      </c>
      <c r="BX8" s="116">
        <f>_xlfn.XLOOKUP(Data15272025121621[[#This Row],[کد ملی]],emp_info[کد ملی],emp_info[تاریخ تولد],"یافت نشد")</f>
        <v>13680301</v>
      </c>
      <c r="BY8" s="116" t="str">
        <f>_xlfn.XLOOKUP(Data15272025121621[[#This Row],[کد ملی]],emp_info[کد ملی],emp_info[جنسیت],"یافت نشد")</f>
        <v>مرد</v>
      </c>
      <c r="BZ8" s="116" t="s">
        <v>122</v>
      </c>
      <c r="CA8" s="116" t="str">
        <f>_xlfn.XLOOKUP(Data15272025121621[[#This Row],[کد ملی]],emp_info[کد ملی],emp_info[سمت شغل],"یافت نشد")</f>
        <v>مديرپروژه</v>
      </c>
      <c r="CB8" s="116">
        <f>_xlfn.XLOOKUP(Data15272025121621[[#This Row],[کد ملی]],emp_info[کد ملی],emp_info[تاریخ شروع به کار],"یافت نشد")</f>
        <v>14040901</v>
      </c>
      <c r="CC8" s="118">
        <f>_xlfn.XLOOKUP(Data15272025121621[[#This Row],[کد ملی]],emp_info[کد ملی],emp_info[ [ تاریخ پایان کار] ],"یافت نشد")</f>
        <v>0</v>
      </c>
      <c r="CD8" s="118">
        <f>Data15272025121621[[#This Row],[روز بیمه]]</f>
        <v>31</v>
      </c>
      <c r="CE8" s="118">
        <f>Data15272025121621[[#This Row],[مزد روزانه ]]</f>
        <v>6044057</v>
      </c>
      <c r="CF8" s="118">
        <f>Data15272025121621[[#This Row],[حقوق پایه]]</f>
        <v>224140106</v>
      </c>
      <c r="CG8" s="118">
        <f>Data15272025121621[[#This Row],[ مزایا مشمول]]</f>
        <v>192201860</v>
      </c>
      <c r="CH8" s="118">
        <f>Data15272025121621[[#This Row],[جمع حقوق و مزایا مشمول بیمه]]</f>
        <v>416341966</v>
      </c>
      <c r="CI8" s="117">
        <f>Data15272025121621[[#This Row],[حقوق ناخالص]]</f>
        <v>550000000</v>
      </c>
      <c r="CJ8" s="117">
        <f>Data15272025121621[[#This Row],[بیمه سهم کارگر]]</f>
        <v>29143938</v>
      </c>
      <c r="CK8" s="116">
        <v>0</v>
      </c>
      <c r="CL8" s="116" t="str">
        <f>TEXT(_xlfn.XLOOKUP(Data15272025121621[[#This Row],[کد ملی]],emp_info[کد ملی],emp_info[کد شغل],"یافت نشد"),"000000")</f>
        <v>000255</v>
      </c>
      <c r="CM8" s="116">
        <f>Data15272025121621[[#This Row],[کد ملی]]</f>
        <v>4260006134</v>
      </c>
      <c r="CN8" s="116">
        <f>Data15272025121621[[#This Row],[پایه سنواتی]]*Data15272025121621[[#This Row],[تعداد سال کارکرد]]</f>
        <v>1186269</v>
      </c>
      <c r="CO8" s="117">
        <f>Data15272025121621[[#This Row],[حق تاهل]]</f>
        <v>5000000</v>
      </c>
    </row>
    <row r="9" spans="1:93" ht="24.95" customHeight="1">
      <c r="A9" s="135" t="str">
        <f>_xlfn.XLOOKUP(Data15272025121621[[#This Row],[کد ملی]],emp_info[کد ملی],emp_info[گروه])</f>
        <v>شاغل</v>
      </c>
      <c r="B9" s="121">
        <f>ROWS($A$1:A3)</f>
        <v>3</v>
      </c>
      <c r="C9" s="121">
        <f>_xlfn.XLOOKUP(Data15272025121621[[#This Row],[کد ملی]],emp_info[کد ملی],emp_info[maliat])</f>
        <v>0</v>
      </c>
      <c r="D9" s="121">
        <f>_xlfn.XLOOKUP(Data15272025121621[[#This Row],[کد ملی]],emp_info[کد ملی],emp_info[بیمه])</f>
        <v>0</v>
      </c>
      <c r="E9" s="121">
        <f>_xlfn.XLOOKUP(Data15272025121621[[#This Row],[کد ملی]],emp_info[کد ملی],emp_info[bank])</f>
        <v>1</v>
      </c>
      <c r="F9" s="47">
        <v>1911300075</v>
      </c>
      <c r="G9" s="47" t="str">
        <f>_xlfn.XLOOKUP(Data15272025121621[[#This Row],[کد ملی]],emp_info[کد ملی],emp_info[نام])&amp;" "&amp;_xlfn.XLOOKUP(Data15272025121621[[#This Row],[کد ملی]],emp_info[کد ملی],emp_info[نام خانوادگی])</f>
        <v>فریدون حیدری</v>
      </c>
      <c r="H9" s="47" t="str">
        <f>_xlfn.XLOOKUP(Data15272025121621[[#This Row],[کد ملی]],emp_info[کد ملی],emp_info[وضعیت تاهل],"یافت نشد")</f>
        <v>متاهل</v>
      </c>
      <c r="I9" s="47">
        <f>_xlfn.XLOOKUP(Data15272025121621[[#This Row],[کد ملی]],emp_info[کد ملی],emp_info[تعداد فرزند],"یافت نشد")</f>
        <v>2</v>
      </c>
      <c r="J9" s="47">
        <f>_xlfn.XLOOKUP(Data15272025121621[[#This Row],[کد ملی]],emp_info[کد ملی],emp_info[ساعت کار قرارداد شده],"یافت نشد")</f>
        <v>140</v>
      </c>
      <c r="K9" s="53">
        <f>_xlfn.XLOOKUP(Data15272025121621[[#This Row],[کد ملی]],emp_info[کد ملی],emp_info[حقوق قرارداد شده],"یافت نشد")</f>
        <v>1000000000</v>
      </c>
      <c r="L9" s="47">
        <f>_xlfn.XLOOKUP(Data15272025121621[[#This Row],[کد ملی]],emp_info[کد ملی],emp_info[گروه شغلی],"یافت نشد")</f>
        <v>16</v>
      </c>
      <c r="M9" s="48">
        <f>_xlfn.XLOOKUP(Data15272025121621[[#This Row],[کد ملی]],emp_info[کد ملی],emp_info[[مزد روزانه ]],"یافت نشد")</f>
        <v>6273134</v>
      </c>
      <c r="N9" s="47">
        <f>_xlfn.XLOOKUP(Data15272025121621[[#This Row],[کد ملی]],emp_info[کد ملی],emp_info[پایه سنواتی],"یافت نشد")</f>
        <v>170667</v>
      </c>
      <c r="O9" s="47">
        <f>_xlfn.XLOOKUP(Data15272025121621[[#This Row],[کد ملی]],emp_info[کد ملی],emp_info[تعداد سال کارکرد],"یافت نشد")</f>
        <v>0</v>
      </c>
      <c r="P9" s="47">
        <f>_xlfn.XLOOKUP(Data15272025121621[[#This Row],[کد ملی]],emp_info[کد ملی],emp_info[مزد مبنا],"یافت نشد")</f>
        <v>6273134</v>
      </c>
      <c r="Q9" s="47">
        <v>210</v>
      </c>
      <c r="R9" s="47">
        <v>31</v>
      </c>
      <c r="S9" s="47">
        <v>0</v>
      </c>
      <c r="T9" s="47">
        <v>0</v>
      </c>
      <c r="U9" s="49">
        <f>TRUNC(Data15272025121621[[#This Row],[حق ماموریت]]/Data15272025121621[[#This Row],[مزد مبنا]])</f>
        <v>38</v>
      </c>
      <c r="V9" s="47">
        <v>0</v>
      </c>
      <c r="W9" s="53">
        <v>0</v>
      </c>
      <c r="X9" s="53">
        <v>0</v>
      </c>
      <c r="Y9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9" s="53">
        <v>584116621.5</v>
      </c>
      <c r="AA9" s="49" cm="1">
        <f t="array" ref="AA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339992252</v>
      </c>
      <c r="AB9" s="49" cm="1">
        <f t="array" ref="AB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244124369</v>
      </c>
      <c r="AC9" s="53" cm="1">
        <f t="array" ref="AC9">ROUND(5*Data15272025121621[[#This Row],[مزد مبنا]]*(Data15272025121621[[#This Row],[روز بیمه]]/list_info302332152027[تعداد روز ماه]),0)</f>
        <v>31365670</v>
      </c>
      <c r="AD9" s="53">
        <f>ROUND(2.5*(Data15272025121621[[#This Row],[پایه سنواتی]]+Data15272025121621[[#This Row],[مزد روزانه ]])*0,0)</f>
        <v>0</v>
      </c>
      <c r="AE9" s="48" cm="1">
        <f t="array" ref="AE9">ROUND(22000000*Data15272025121621[[#This Row],[روز بیمه]]/list_info302332152027[تعداد روز ماه],0)</f>
        <v>22000000</v>
      </c>
      <c r="AF9" s="48" cm="1">
        <f t="array" ref="AF9">ROUND(list_info302332152027[حق مسکن]*Data15272025121621[[#This Row],[روز بیمه]]/list_info302332152027[تعداد روز ماه],0)</f>
        <v>30000000</v>
      </c>
      <c r="AG9" s="47" cm="1">
        <f t="array" ref="AG9">ROUND(IF(Data15272025121621[[#This Row],[وضعیت تاهل]]="متاهل",list_info302332152027[حق تاهل],0)*Data15272025121621[[#This Row],[روز بیمه]]/list_info302332152027[تعداد روز ماه],0)</f>
        <v>5000000</v>
      </c>
      <c r="AH9" s="47" cm="1">
        <f t="array" ref="AH9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9" s="57" cm="1">
        <f t="array" ref="AI9">list_info302332152027[[درصد فوق العاده جذب تخصصی ماهیانه ]]*Data15272025121621[[#This Row],[مزد روزانه ]]*Data15272025121621[[#This Row],[روز بیمه]]</f>
        <v>0</v>
      </c>
      <c r="AJ9" s="57" cm="1">
        <f t="array" ref="AJ9">list_info302332152027[درصد فوق العاده بدی آب و هوا]*Data15272025121621[[#This Row],[مزد روزانه ]]*Data15272025121621[[#This Row],[روز بیمه]]</f>
        <v>0</v>
      </c>
      <c r="AK9" s="57" cm="1">
        <f t="array" ref="AK9">list_info302332152027[[فوق العاده جذب تخصصی دوری از خانواده ]]*Data15272025121621[[#This Row],[مزد روزانه ]]*Data15272025121621[[#This Row],[روز بیمه]]</f>
        <v>0</v>
      </c>
      <c r="AL9" s="57" cm="1">
        <f t="array" ref="AL9">list_info302332152027[فوق العاده پارس جنوبی]*Data15272025121621[[#This Row],[مزد روزانه ]]*Data15272025121621[[#This Row],[روز بیمه]]</f>
        <v>0</v>
      </c>
      <c r="AM9" s="53" cm="1">
        <f t="array" ref="AM9">ROUND((Data15272025121621[[#This Row],[روز بیمه]]/list_info302332152027[تعداد روز ماه])*Data15272025121621[[#This Row],[تعداد فرزند]]*list_info302332152027[حق اولاد],0)</f>
        <v>33251098</v>
      </c>
      <c r="AN9" s="53" cm="1">
        <f t="array" ref="AN9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15682835</v>
      </c>
      <c r="AO9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641116622</v>
      </c>
      <c r="AP9" s="48">
        <f>ROUND(Data15272025121621[[#This Row],[سایر مزایا]]+Data15272025121621[[#This Row],[اضافه کار]]+Data15272025121621[[#This Row],[جمعه کاری]],0)</f>
        <v>584116622</v>
      </c>
      <c r="AQ9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90251098</v>
      </c>
      <c r="AR9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664416224</v>
      </c>
      <c r="AS9" s="47">
        <f>Data15272025121621[[#This Row],[روز بیمه]]*Data15272025121621[[#This Row],[پایه سنواتی]]*Data15272025121621[[#This Row],[تعداد سال کارکرد]]</f>
        <v>0</v>
      </c>
      <c r="AT9" s="53">
        <f>ROUND(Data15272025121621[[#This Row],[جمع حقوق و مزایا مشمول بیمه]]*0.07,0)</f>
        <v>0</v>
      </c>
      <c r="AU9" s="53">
        <f>ROUND(Data15272025121621[[#This Row],[جمع حقوق و مزایا مشمول بیمه]]*0.2,0)</f>
        <v>0</v>
      </c>
      <c r="AV9" s="53">
        <f>ROUND(Data15272025121621[[#This Row],[جمع حقوق و مزایا مشمول بیمه]]*0.03,0)</f>
        <v>0</v>
      </c>
      <c r="AW9" s="53">
        <f>Data15272025121621[[#This Row],[بیمه بیکاری]]+Data15272025121621[[#This Row],[بیمه سهم کارفرما]]+Data15272025121621[[#This Row],[بیمه سهم کارگر]]</f>
        <v>0</v>
      </c>
      <c r="AX9" s="48">
        <f>Data15272025121621[[#This Row],[روز بیمه]]*Data15272025121621[[#This Row],[مزد مبنا]]</f>
        <v>194467154</v>
      </c>
      <c r="AY9" s="48">
        <f>Data15272025121621[[#This Row],[حقوق پایه]]+Data15272025121621[[#This Row],[مزایا مستمر مشمول مالیات]]</f>
        <v>284718252</v>
      </c>
      <c r="AZ9" s="49">
        <f>(Data15272025121621[[#This Row],[حقوق پایه]]+Data15272025121621[[#This Row],[ مزایا مشمول]])*Data15272025121621[[#This Row],[بیمه]]</f>
        <v>0</v>
      </c>
      <c r="BA9" s="54">
        <f>ROUND(((Data15272025121621[[#This Row],[ساعت کارکرد]]/Data15272025121621[[#This Row],[کارکرد قرارداد شده]])*Data15272025121621[[#This Row],[حقوق قرارداد شده]]),0)</f>
        <v>1500000000</v>
      </c>
      <c r="BB9" s="54">
        <f>Data15272025121621[[#This Row],[بیمه سهم کارگر]]</f>
        <v>0</v>
      </c>
      <c r="BC9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1500000000</v>
      </c>
      <c r="BD9" s="125" t="str">
        <f>_xlfn.XLOOKUP(Data15272025121621[[#This Row],[کد ملی]],emp_info[کد ملی],emp_info[شماره حساب])</f>
        <v>0349845523003</v>
      </c>
      <c r="BE9" s="50">
        <f>TRUNC(Data15272025121621[[#This Row],[حقوق خالص]]-Data15272025121621[[#This Row],[کسر مساعده]])</f>
        <v>1500000000</v>
      </c>
      <c r="BF9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G9" s="113">
        <f>BE10-Data15272025121621[[#This Row],[قابل پرداخت]]</f>
        <v>-285714286</v>
      </c>
      <c r="BH9" s="113">
        <v>679984505</v>
      </c>
      <c r="BI9" s="113">
        <v>488248738</v>
      </c>
      <c r="BJ9" s="20">
        <f t="shared" si="0"/>
        <v>584116621.5</v>
      </c>
      <c r="BL9" s="2">
        <f>Data15272025121621[[#This Row],[بیمه]]</f>
        <v>0</v>
      </c>
      <c r="BM9" s="114" t="str" cm="1">
        <f t="array" ref="BM9">DSKKAR1817292231141823[DSK_ID]</f>
        <v>4894290013</v>
      </c>
      <c r="BN9" s="115" t="str" cm="1">
        <f t="array" ref="BN9">DSKKAR1817292231141823[DSK_YY]</f>
        <v>05</v>
      </c>
      <c r="BO9" s="115" t="str" cm="1">
        <f t="array" ref="BO9">DSKKAR1817292231141823[DSK_MM]</f>
        <v>04</v>
      </c>
      <c r="BP9" s="116" t="str" cm="1">
        <f t="array" ref="BP9">DSKKAR1817292231141823[DSK_LISTNO]</f>
        <v>01</v>
      </c>
      <c r="BQ9" s="117">
        <f>_xlfn.XLOOKUP(Data15272025121621[[#This Row],[کد ملی]],emp_info[کد ملی],emp_info[شماره بیمه],"یافت نشد")</f>
        <v>0</v>
      </c>
      <c r="BR9" s="116" t="str">
        <f>_xlfn.XLOOKUP(Data15272025121621[[#This Row],[کد ملی]],emp_info[کد ملی],emp_info[نام],"یافت نشد")</f>
        <v>فریدون</v>
      </c>
      <c r="BS9" s="116" t="str">
        <f>_xlfn.XLOOKUP(Data15272025121621[[#This Row],[کد ملی]],emp_info[کد ملی],emp_info[نام خانوادگی],"یافت نشد")</f>
        <v>حیدری</v>
      </c>
      <c r="BT9" s="116" t="str">
        <f>_xlfn.XLOOKUP(Data15272025121621[[#This Row],[کد ملی]],emp_info[کد ملی],emp_info[نام  پدر],"یافت نشد")</f>
        <v>محمد رفیع</v>
      </c>
      <c r="BU9" s="116" t="str">
        <f>_xlfn.XLOOKUP(Data15272025121621[[#This Row],[کد ملی]],emp_info[کد ملی],emp_info[شماره شناسنامه],"یافت نشد")</f>
        <v>257</v>
      </c>
      <c r="BV9" s="116" t="str">
        <f>_xlfn.XLOOKUP(Data15272025121621[[#This Row],[کد ملی]],emp_info[کد ملی],emp_info[محل صدور],"یافت نشد")</f>
        <v>رامهرمز</v>
      </c>
      <c r="BW9" s="116">
        <f>_xlfn.XLOOKUP(Data15272025121621[[#This Row],[کد ملی]],emp_info[کد ملی],emp_info[تاریخ صدور],"یافت نشد")</f>
        <v>0</v>
      </c>
      <c r="BX9" s="116">
        <f>_xlfn.XLOOKUP(Data15272025121621[[#This Row],[کد ملی]],emp_info[کد ملی],emp_info[تاریخ تولد],"یافت نشد")</f>
        <v>13341006</v>
      </c>
      <c r="BY9" s="116" t="str">
        <f>_xlfn.XLOOKUP(Data15272025121621[[#This Row],[کد ملی]],emp_info[کد ملی],emp_info[جنسیت],"یافت نشد")</f>
        <v>مرد</v>
      </c>
      <c r="BZ9" s="116" t="s">
        <v>122</v>
      </c>
      <c r="CA9" s="116" t="str">
        <f>_xlfn.XLOOKUP(Data15272025121621[[#This Row],[کد ملی]],emp_info[کد ملی],emp_info[سمت شغل],"یافت نشد")</f>
        <v>مدیر پروژه</v>
      </c>
      <c r="CB9" s="116">
        <f>_xlfn.XLOOKUP(Data15272025121621[[#This Row],[کد ملی]],emp_info[کد ملی],emp_info[تاریخ شروع به کار],"یافت نشد")</f>
        <v>14040901</v>
      </c>
      <c r="CC9" s="118">
        <f>_xlfn.XLOOKUP(Data15272025121621[[#This Row],[کد ملی]],emp_info[کد ملی],emp_info[ [ تاریخ پایان کار] ],"یافت نشد")</f>
        <v>0</v>
      </c>
      <c r="CD9" s="118">
        <f>Data15272025121621[[#This Row],[روز بیمه]]</f>
        <v>31</v>
      </c>
      <c r="CE9" s="118">
        <f>Data15272025121621[[#This Row],[مزد روزانه ]]</f>
        <v>6273134</v>
      </c>
      <c r="CF9" s="118">
        <f>Data15272025121621[[#This Row],[حقوق پایه]]</f>
        <v>194467154</v>
      </c>
      <c r="CG9" s="118">
        <f>Data15272025121621[[#This Row],[ مزایا مشمول]]</f>
        <v>641116622</v>
      </c>
      <c r="CH9" s="118">
        <f>Data15272025121621[[#This Row],[جمع حقوق و مزایا مشمول بیمه]]</f>
        <v>0</v>
      </c>
      <c r="CI9" s="117">
        <f>Data15272025121621[[#This Row],[حقوق ناخالص]]</f>
        <v>1500000000</v>
      </c>
      <c r="CJ9" s="117">
        <f>Data15272025121621[[#This Row],[بیمه سهم کارگر]]</f>
        <v>0</v>
      </c>
      <c r="CK9" s="116">
        <v>0</v>
      </c>
      <c r="CL9" s="116" t="str">
        <f>TEXT(_xlfn.XLOOKUP(Data15272025121621[[#This Row],[کد ملی]],emp_info[کد ملی],emp_info[کد شغل],"یافت نشد"),"000000")</f>
        <v>000000</v>
      </c>
      <c r="CM9" s="116">
        <f>Data15272025121621[[#This Row],[کد ملی]]</f>
        <v>1911300075</v>
      </c>
      <c r="CN9" s="116">
        <f>Data15272025121621[[#This Row],[پایه سنواتی]]*Data15272025121621[[#This Row],[تعداد سال کارکرد]]</f>
        <v>0</v>
      </c>
      <c r="CO9" s="117">
        <f>Data15272025121621[[#This Row],[حق تاهل]]</f>
        <v>5000000</v>
      </c>
    </row>
    <row r="10" spans="1:93" s="3" customFormat="1" ht="24.95" customHeight="1">
      <c r="A10" s="135" t="str">
        <f>_xlfn.XLOOKUP(Data15272025121621[[#This Row],[کد ملی]],emp_info[کد ملی],emp_info[گروه])</f>
        <v>شاغل</v>
      </c>
      <c r="B10" s="121">
        <f>ROWS($A$1:A4)</f>
        <v>4</v>
      </c>
      <c r="C10" s="121">
        <f>_xlfn.XLOOKUP(Data15272025121621[[#This Row],[کد ملی]],emp_info[کد ملی],emp_info[maliat])</f>
        <v>0</v>
      </c>
      <c r="D10" s="121">
        <f>_xlfn.XLOOKUP(Data15272025121621[[#This Row],[کد ملی]],emp_info[کد ملی],emp_info[بیمه])</f>
        <v>0</v>
      </c>
      <c r="E10" s="121">
        <f>_xlfn.XLOOKUP(Data15272025121621[[#This Row],[کد ملی]],emp_info[کد ملی],emp_info[bank])</f>
        <v>1</v>
      </c>
      <c r="F10" s="47">
        <v>4819790331</v>
      </c>
      <c r="G10" s="47" t="str">
        <f>_xlfn.XLOOKUP(Data15272025121621[[#This Row],[کد ملی]],emp_info[کد ملی],emp_info[نام])&amp;" "&amp;_xlfn.XLOOKUP(Data15272025121621[[#This Row],[کد ملی]],emp_info[کد ملی],emp_info[نام خانوادگی])</f>
        <v>منوچهر حیدری</v>
      </c>
      <c r="H10" s="47" t="str">
        <f>_xlfn.XLOOKUP(Data15272025121621[[#This Row],[کد ملی]],emp_info[کد ملی],emp_info[وضعیت تاهل],"یافت نشد")</f>
        <v>متاهل</v>
      </c>
      <c r="I10" s="47">
        <f>_xlfn.XLOOKUP(Data15272025121621[[#This Row],[کد ملی]],emp_info[کد ملی],emp_info[تعداد فرزند],"یافت نشد")</f>
        <v>3</v>
      </c>
      <c r="J10" s="47">
        <f>_xlfn.XLOOKUP(Data15272025121621[[#This Row],[کد ملی]],emp_info[کد ملی],emp_info[ساعت کار قرارداد شده],"یافت نشد")</f>
        <v>140</v>
      </c>
      <c r="K10" s="53">
        <f>_xlfn.XLOOKUP(Data15272025121621[[#This Row],[کد ملی]],emp_info[کد ملی],emp_info[حقوق قرارداد شده],"یافت نشد")</f>
        <v>1000000000</v>
      </c>
      <c r="L10" s="47">
        <f>_xlfn.XLOOKUP(Data15272025121621[[#This Row],[کد ملی]],emp_info[کد ملی],emp_info[گروه شغلی],"یافت نشد")</f>
        <v>16</v>
      </c>
      <c r="M10" s="48">
        <f>_xlfn.XLOOKUP(Data15272025121621[[#This Row],[کد ملی]],emp_info[کد ملی],emp_info[[مزد روزانه ]],"یافت نشد")</f>
        <v>6273134</v>
      </c>
      <c r="N10" s="47">
        <f>_xlfn.XLOOKUP(Data15272025121621[[#This Row],[کد ملی]],emp_info[کد ملی],emp_info[پایه سنواتی],"یافت نشد")</f>
        <v>170667</v>
      </c>
      <c r="O10" s="47">
        <f>_xlfn.XLOOKUP(Data15272025121621[[#This Row],[کد ملی]],emp_info[کد ملی],emp_info[تعداد سال کارکرد],"یافت نشد")</f>
        <v>0</v>
      </c>
      <c r="P10" s="47">
        <f>_xlfn.XLOOKUP(Data15272025121621[[#This Row],[کد ملی]],emp_info[کد ملی],emp_info[مزد مبنا],"یافت نشد")</f>
        <v>6273134</v>
      </c>
      <c r="Q10" s="47">
        <v>170</v>
      </c>
      <c r="R10" s="47">
        <v>31</v>
      </c>
      <c r="S10" s="47">
        <v>0</v>
      </c>
      <c r="T10" s="47">
        <v>0</v>
      </c>
      <c r="U10" s="49">
        <f>TRUNC(Data15272025121621[[#This Row],[حق ماموریت]]/Data15272025121621[[#This Row],[مزد مبنا]])</f>
        <v>28</v>
      </c>
      <c r="V10" s="47">
        <v>0</v>
      </c>
      <c r="W10" s="53">
        <v>0</v>
      </c>
      <c r="X10" s="53">
        <v>0</v>
      </c>
      <c r="Y10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0" s="53">
        <v>432946704</v>
      </c>
      <c r="AA10" s="49" cm="1">
        <f t="array" ref="AA1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252001946</v>
      </c>
      <c r="AB10" s="49" cm="1">
        <f t="array" ref="AB1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180944758</v>
      </c>
      <c r="AC10" s="53" cm="1">
        <f t="array" ref="AC10">ROUND(5*Data15272025121621[[#This Row],[مزد مبنا]]*(Data15272025121621[[#This Row],[روز بیمه]]/list_info302332152027[تعداد روز ماه]),0)</f>
        <v>31365670</v>
      </c>
      <c r="AD10" s="53">
        <f>ROUND(2.5*(Data15272025121621[[#This Row],[پایه سنواتی]]+Data15272025121621[[#This Row],[مزد روزانه ]])*0,0)</f>
        <v>0</v>
      </c>
      <c r="AE10" s="48" cm="1">
        <f t="array" ref="AE10">ROUND(22000000*Data15272025121621[[#This Row],[روز بیمه]]/list_info302332152027[تعداد روز ماه],0)</f>
        <v>22000000</v>
      </c>
      <c r="AF10" s="48" cm="1">
        <f t="array" ref="AF10">ROUND(list_info302332152027[حق مسکن]*Data15272025121621[[#This Row],[روز بیمه]]/list_info302332152027[تعداد روز ماه],0)</f>
        <v>30000000</v>
      </c>
      <c r="AG10" s="47" cm="1">
        <f t="array" ref="AG10">ROUND(IF(Data15272025121621[[#This Row],[وضعیت تاهل]]="متاهل",list_info302332152027[حق تاهل],0)*Data15272025121621[[#This Row],[روز بیمه]]/list_info302332152027[تعداد روز ماه],0)</f>
        <v>5000000</v>
      </c>
      <c r="AH10" s="47" cm="1">
        <f t="array" ref="AH10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0" s="57" cm="1">
        <f t="array" ref="AI10">list_info302332152027[[درصد فوق العاده جذب تخصصی ماهیانه ]]*Data15272025121621[[#This Row],[مزد روزانه ]]*Data15272025121621[[#This Row],[روز بیمه]]</f>
        <v>0</v>
      </c>
      <c r="AJ10" s="57" cm="1">
        <f t="array" ref="AJ10">list_info302332152027[درصد فوق العاده بدی آب و هوا]*Data15272025121621[[#This Row],[مزد روزانه ]]*Data15272025121621[[#This Row],[روز بیمه]]</f>
        <v>0</v>
      </c>
      <c r="AK10" s="57" cm="1">
        <f t="array" ref="AK10">list_info302332152027[[فوق العاده جذب تخصصی دوری از خانواده ]]*Data15272025121621[[#This Row],[مزد روزانه ]]*Data15272025121621[[#This Row],[روز بیمه]]</f>
        <v>0</v>
      </c>
      <c r="AL10" s="57" cm="1">
        <f t="array" ref="AL10">list_info302332152027[فوق العاده پارس جنوبی]*Data15272025121621[[#This Row],[مزد روزانه ]]*Data15272025121621[[#This Row],[روز بیمه]]</f>
        <v>0</v>
      </c>
      <c r="AM10" s="53" cm="1">
        <f t="array" ref="AM10">ROUND((Data15272025121621[[#This Row],[روز بیمه]]/list_info302332152027[تعداد روز ماه])*Data15272025121621[[#This Row],[تعداد فرزند]]*list_info302332152027[حق اولاد],0)</f>
        <v>49876647</v>
      </c>
      <c r="AN10" s="53" cm="1">
        <f t="array" ref="AN10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15682835</v>
      </c>
      <c r="AO10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489946704</v>
      </c>
      <c r="AP10" s="48">
        <f>ROUND(Data15272025121621[[#This Row],[سایر مزایا]]+Data15272025121621[[#This Row],[اضافه کار]]+Data15272025121621[[#This Row],[جمعه کاری]],0)</f>
        <v>432946704</v>
      </c>
      <c r="AQ10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106876647</v>
      </c>
      <c r="AR10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529871856</v>
      </c>
      <c r="AS10" s="47">
        <f>Data15272025121621[[#This Row],[روز بیمه]]*Data15272025121621[[#This Row],[پایه سنواتی]]*Data15272025121621[[#This Row],[تعداد سال کارکرد]]</f>
        <v>0</v>
      </c>
      <c r="AT10" s="53">
        <f>ROUND(Data15272025121621[[#This Row],[جمع حقوق و مزایا مشمول بیمه]]*0.07,0)</f>
        <v>0</v>
      </c>
      <c r="AU10" s="53">
        <f>ROUND(Data15272025121621[[#This Row],[جمع حقوق و مزایا مشمول بیمه]]*0.2,0)</f>
        <v>0</v>
      </c>
      <c r="AV10" s="53">
        <f>ROUND(Data15272025121621[[#This Row],[جمع حقوق و مزایا مشمول بیمه]]*0.03,0)</f>
        <v>0</v>
      </c>
      <c r="AW10" s="53">
        <f>Data15272025121621[[#This Row],[بیمه بیکاری]]+Data15272025121621[[#This Row],[بیمه سهم کارفرما]]+Data15272025121621[[#This Row],[بیمه سهم کارگر]]</f>
        <v>0</v>
      </c>
      <c r="AX10" s="48">
        <f>Data15272025121621[[#This Row],[روز بیمه]]*Data15272025121621[[#This Row],[مزد مبنا]]</f>
        <v>194467154</v>
      </c>
      <c r="AY10" s="48">
        <f>Data15272025121621[[#This Row],[حقوق پایه]]+Data15272025121621[[#This Row],[مزایا مستمر مشمول مالیات]]</f>
        <v>301343801</v>
      </c>
      <c r="AZ10" s="49">
        <f>(Data15272025121621[[#This Row],[حقوق پایه]]+Data15272025121621[[#This Row],[ مزایا مشمول]])*Data15272025121621[[#This Row],[بیمه]]</f>
        <v>0</v>
      </c>
      <c r="BA10" s="54">
        <f>ROUND(((Data15272025121621[[#This Row],[ساعت کارکرد]]/Data15272025121621[[#This Row],[کارکرد قرارداد شده]])*Data15272025121621[[#This Row],[حقوق قرارداد شده]]),0)</f>
        <v>1214285714</v>
      </c>
      <c r="BB10" s="54">
        <f>Data15272025121621[[#This Row],[بیمه سهم کارگر]]</f>
        <v>0</v>
      </c>
      <c r="BC10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1214285714</v>
      </c>
      <c r="BD10" s="125" t="str">
        <f>_xlfn.XLOOKUP(Data15272025121621[[#This Row],[کد ملی]],emp_info[کد ملی],emp_info[شماره حساب])</f>
        <v>0230842079003</v>
      </c>
      <c r="BE10" s="50">
        <f>TRUNC(Data15272025121621[[#This Row],[حقوق خالص]]-Data15272025121621[[#This Row],[کسر مساعده]])</f>
        <v>1214285714</v>
      </c>
      <c r="BF10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G10" s="113"/>
      <c r="BH10" s="113">
        <v>504003892</v>
      </c>
      <c r="BI10" s="113">
        <v>361889516</v>
      </c>
      <c r="BJ10" s="20">
        <f t="shared" si="0"/>
        <v>432946704</v>
      </c>
      <c r="BK10" s="2"/>
      <c r="BL10" s="2">
        <f>Data15272025121621[[#This Row],[بیمه]]</f>
        <v>0</v>
      </c>
      <c r="BM10" s="114" t="str" cm="1">
        <f t="array" ref="BM10">DSKKAR1817292231141823[DSK_ID]</f>
        <v>4894290013</v>
      </c>
      <c r="BN10" s="115" t="str" cm="1">
        <f t="array" ref="BN10">DSKKAR1817292231141823[DSK_YY]</f>
        <v>05</v>
      </c>
      <c r="BO10" s="115" t="str" cm="1">
        <f t="array" ref="BO10">DSKKAR1817292231141823[DSK_MM]</f>
        <v>04</v>
      </c>
      <c r="BP10" s="116" t="str" cm="1">
        <f t="array" ref="BP10">DSKKAR1817292231141823[DSK_LISTNO]</f>
        <v>01</v>
      </c>
      <c r="BQ10" s="117">
        <f>_xlfn.XLOOKUP(Data15272025121621[[#This Row],[کد ملی]],emp_info[کد ملی],emp_info[شماره بیمه],"یافت نشد")</f>
        <v>0</v>
      </c>
      <c r="BR10" s="116" t="str">
        <f>_xlfn.XLOOKUP(Data15272025121621[[#This Row],[کد ملی]],emp_info[کد ملی],emp_info[نام],"یافت نشد")</f>
        <v>منوچهر</v>
      </c>
      <c r="BS10" s="116" t="str">
        <f>_xlfn.XLOOKUP(Data15272025121621[[#This Row],[کد ملی]],emp_info[کد ملی],emp_info[نام خانوادگی],"یافت نشد")</f>
        <v>حیدری</v>
      </c>
      <c r="BT10" s="116" t="str">
        <f>_xlfn.XLOOKUP(Data15272025121621[[#This Row],[کد ملی]],emp_info[کد ملی],emp_info[نام  پدر],"یافت نشد")</f>
        <v>اسکندر</v>
      </c>
      <c r="BU10" s="116" t="str">
        <f>_xlfn.XLOOKUP(Data15272025121621[[#This Row],[کد ملی]],emp_info[کد ملی],emp_info[شماره شناسنامه],"یافت نشد")</f>
        <v>9موالید</v>
      </c>
      <c r="BV10" s="116" t="str">
        <f>_xlfn.XLOOKUP(Data15272025121621[[#This Row],[کد ملی]],emp_info[کد ملی],emp_info[محل صدور],"یافت نشد")</f>
        <v>خوزستان</v>
      </c>
      <c r="BW10" s="116">
        <f>_xlfn.XLOOKUP(Data15272025121621[[#This Row],[کد ملی]],emp_info[کد ملی],emp_info[تاریخ صدور],"یافت نشد")</f>
        <v>0</v>
      </c>
      <c r="BX10" s="116">
        <f>_xlfn.XLOOKUP(Data15272025121621[[#This Row],[کد ملی]],emp_info[کد ملی],emp_info[تاریخ تولد],"یافت نشد")</f>
        <v>13300204</v>
      </c>
      <c r="BY10" s="116" t="str">
        <f>_xlfn.XLOOKUP(Data15272025121621[[#This Row],[کد ملی]],emp_info[کد ملی],emp_info[جنسیت],"یافت نشد")</f>
        <v>مرد</v>
      </c>
      <c r="BZ10" s="116" t="s">
        <v>122</v>
      </c>
      <c r="CA10" s="116" t="str">
        <f>_xlfn.XLOOKUP(Data15272025121621[[#This Row],[کد ملی]],emp_info[کد ملی],emp_info[سمت شغل],"یافت نشد")</f>
        <v>مدیر پروژه</v>
      </c>
      <c r="CB10" s="116">
        <f>_xlfn.XLOOKUP(Data15272025121621[[#This Row],[کد ملی]],emp_info[کد ملی],emp_info[تاریخ شروع به کار],"یافت نشد")</f>
        <v>14040901</v>
      </c>
      <c r="CC10" s="118">
        <f>_xlfn.XLOOKUP(Data15272025121621[[#This Row],[کد ملی]],emp_info[کد ملی],emp_info[ [ تاریخ پایان کار] ],"یافت نشد")</f>
        <v>0</v>
      </c>
      <c r="CD10" s="118">
        <f>Data15272025121621[[#This Row],[روز بیمه]]</f>
        <v>31</v>
      </c>
      <c r="CE10" s="118">
        <f>Data15272025121621[[#This Row],[مزد روزانه ]]</f>
        <v>6273134</v>
      </c>
      <c r="CF10" s="118">
        <f>Data15272025121621[[#This Row],[حقوق پایه]]</f>
        <v>194467154</v>
      </c>
      <c r="CG10" s="118">
        <f>Data15272025121621[[#This Row],[ مزایا مشمول]]</f>
        <v>489946704</v>
      </c>
      <c r="CH10" s="118">
        <f>Data15272025121621[[#This Row],[جمع حقوق و مزایا مشمول بیمه]]</f>
        <v>0</v>
      </c>
      <c r="CI10" s="117">
        <f>Data15272025121621[[#This Row],[حقوق ناخالص]]</f>
        <v>1214285714</v>
      </c>
      <c r="CJ10" s="117">
        <f>Data15272025121621[[#This Row],[بیمه سهم کارگر]]</f>
        <v>0</v>
      </c>
      <c r="CK10" s="116">
        <v>0</v>
      </c>
      <c r="CL10" s="116" t="str">
        <f>TEXT(_xlfn.XLOOKUP(Data15272025121621[[#This Row],[کد ملی]],emp_info[کد ملی],emp_info[کد شغل],"یافت نشد"),"000000")</f>
        <v>000000</v>
      </c>
      <c r="CM10" s="116">
        <f>Data15272025121621[[#This Row],[کد ملی]]</f>
        <v>4819790331</v>
      </c>
      <c r="CN10" s="116">
        <f>Data15272025121621[[#This Row],[پایه سنواتی]]*Data15272025121621[[#This Row],[تعداد سال کارکرد]]</f>
        <v>0</v>
      </c>
      <c r="CO10" s="117">
        <f>Data15272025121621[[#This Row],[حق تاهل]]</f>
        <v>5000000</v>
      </c>
    </row>
    <row r="11" spans="1:93" s="3" customFormat="1" ht="24.95" customHeight="1">
      <c r="A11" s="135" t="str">
        <f>_xlfn.XLOOKUP(Data15272025121621[[#This Row],[کد ملی]],emp_info[کد ملی],emp_info[گروه])</f>
        <v>شاغل</v>
      </c>
      <c r="B11" s="121">
        <f>ROWS($A$1:A5)</f>
        <v>5</v>
      </c>
      <c r="C11" s="121">
        <f>_xlfn.XLOOKUP(Data15272025121621[[#This Row],[کد ملی]],emp_info[کد ملی],emp_info[maliat])</f>
        <v>1</v>
      </c>
      <c r="D11" s="121">
        <f>_xlfn.XLOOKUP(Data15272025121621[[#This Row],[کد ملی]],emp_info[کد ملی],emp_info[بیمه])</f>
        <v>1</v>
      </c>
      <c r="E11" s="121">
        <f>_xlfn.XLOOKUP(Data15272025121621[[#This Row],[کد ملی]],emp_info[کد ملی],emp_info[bank])</f>
        <v>1</v>
      </c>
      <c r="F11" s="47">
        <v>6810017488</v>
      </c>
      <c r="G11" s="47" t="str">
        <f>_xlfn.XLOOKUP(Data15272025121621[[#This Row],[کد ملی]],emp_info[کد ملی],emp_info[نام])&amp;" "&amp;_xlfn.XLOOKUP(Data15272025121621[[#This Row],[کد ملی]],emp_info[کد ملی],emp_info[نام خانوادگی])</f>
        <v>عليرضا شيباني</v>
      </c>
      <c r="H11" s="47" t="str">
        <f>_xlfn.XLOOKUP(Data15272025121621[[#This Row],[کد ملی]],emp_info[کد ملی],emp_info[وضعیت تاهل],"یافت نشد")</f>
        <v>مجرد</v>
      </c>
      <c r="I11" s="47">
        <f>_xlfn.XLOOKUP(Data15272025121621[[#This Row],[کد ملی]],emp_info[کد ملی],emp_info[تعداد فرزند],"یافت نشد")</f>
        <v>0</v>
      </c>
      <c r="J11" s="47">
        <f>_xlfn.XLOOKUP(Data15272025121621[[#This Row],[کد ملی]],emp_info[کد ملی],emp_info[ساعت کار قرارداد شده],"یافت نشد")</f>
        <v>230</v>
      </c>
      <c r="K11" s="53">
        <f>_xlfn.XLOOKUP(Data15272025121621[[#This Row],[کد ملی]],emp_info[کد ملی],emp_info[حقوق قرارداد شده],"یافت نشد")</f>
        <v>400000000</v>
      </c>
      <c r="L11" s="47">
        <f>_xlfn.XLOOKUP(Data15272025121621[[#This Row],[کد ملی]],emp_info[کد ملی],emp_info[گروه شغلی],"یافت نشد")</f>
        <v>10</v>
      </c>
      <c r="M11" s="48">
        <f>_xlfn.XLOOKUP(Data15272025121621[[#This Row],[کد ملی]],emp_info[کد ملی],emp_info[[مزد روزانه ]],"یافت نشد")</f>
        <v>5867844</v>
      </c>
      <c r="N11" s="47">
        <f>_xlfn.XLOOKUP(Data15272025121621[[#This Row],[کد ملی]],emp_info[کد ملی],emp_info[پایه سنواتی],"یافت نشد")</f>
        <v>168467</v>
      </c>
      <c r="O11" s="47">
        <f>_xlfn.XLOOKUP(Data15272025121621[[#This Row],[کد ملی]],emp_info[کد ملی],emp_info[تعداد سال کارکرد],"یافت نشد")</f>
        <v>0</v>
      </c>
      <c r="P11" s="47">
        <f>_xlfn.XLOOKUP(Data15272025121621[[#This Row],[کد ملی]],emp_info[کد ملی],emp_info[مزد مبنا],"یافت نشد")</f>
        <v>5867844</v>
      </c>
      <c r="Q11" s="47">
        <v>250</v>
      </c>
      <c r="R11" s="47">
        <v>31</v>
      </c>
      <c r="S11" s="47">
        <v>0</v>
      </c>
      <c r="T11" s="47">
        <v>0</v>
      </c>
      <c r="U11" s="49">
        <f>TRUNC(Data15272025121621[[#This Row],[حق ماموریت]]/Data15272025121621[[#This Row],[مزد مبنا]])</f>
        <v>5</v>
      </c>
      <c r="V11" s="47">
        <v>0</v>
      </c>
      <c r="W11" s="53">
        <v>0</v>
      </c>
      <c r="X11" s="53">
        <v>0</v>
      </c>
      <c r="Y11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1" s="53">
        <v>78435307.5</v>
      </c>
      <c r="AA11" s="49" cm="1">
        <f t="array" ref="AA1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46921191</v>
      </c>
      <c r="AB11" s="49" cm="1">
        <f t="array" ref="AB1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31514116</v>
      </c>
      <c r="AC11" s="53" cm="1">
        <f t="array" ref="AC11">ROUND(5*Data15272025121621[[#This Row],[مزد مبنا]]*(Data15272025121621[[#This Row],[روز بیمه]]/list_info302332152027[تعداد روز ماه]),0)</f>
        <v>29339220</v>
      </c>
      <c r="AD11" s="53">
        <f>ROUND(2.5*(Data15272025121621[[#This Row],[پایه سنواتی]]+Data15272025121621[[#This Row],[مزد روزانه ]])*0,0)</f>
        <v>0</v>
      </c>
      <c r="AE11" s="48" cm="1">
        <f t="array" ref="AE11">ROUND(22000000*Data15272025121621[[#This Row],[روز بیمه]]/list_info302332152027[تعداد روز ماه],0)</f>
        <v>22000000</v>
      </c>
      <c r="AF11" s="48" cm="1">
        <f t="array" ref="AF11">ROUND(list_info302332152027[حق مسکن]*Data15272025121621[[#This Row],[روز بیمه]]/list_info302332152027[تعداد روز ماه],0)</f>
        <v>30000000</v>
      </c>
      <c r="AG11" s="47" cm="1">
        <f t="array" ref="AG11">ROUND(IF(Data15272025121621[[#This Row],[وضعیت تاهل]]="متاهل",list_info302332152027[حق تاهل],0)*Data15272025121621[[#This Row],[روز بیمه]]/list_info302332152027[تعداد روز ماه],0)</f>
        <v>0</v>
      </c>
      <c r="AH11" s="47" cm="1">
        <f t="array" ref="AH11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1" s="57" cm="1">
        <f t="array" ref="AI11">list_info302332152027[[درصد فوق العاده جذب تخصصی ماهیانه ]]*Data15272025121621[[#This Row],[مزد روزانه ]]*Data15272025121621[[#This Row],[روز بیمه]]</f>
        <v>0</v>
      </c>
      <c r="AJ11" s="57" cm="1">
        <f t="array" ref="AJ11">list_info302332152027[درصد فوق العاده بدی آب و هوا]*Data15272025121621[[#This Row],[مزد روزانه ]]*Data15272025121621[[#This Row],[روز بیمه]]</f>
        <v>0</v>
      </c>
      <c r="AK11" s="57" cm="1">
        <f t="array" ref="AK11">list_info302332152027[[فوق العاده جذب تخصصی دوری از خانواده ]]*Data15272025121621[[#This Row],[مزد روزانه ]]*Data15272025121621[[#This Row],[روز بیمه]]</f>
        <v>0</v>
      </c>
      <c r="AL11" s="57" cm="1">
        <f t="array" ref="AL11">list_info302332152027[فوق العاده پارس جنوبی]*Data15272025121621[[#This Row],[مزد روزانه ]]*Data15272025121621[[#This Row],[روز بیمه]]</f>
        <v>0</v>
      </c>
      <c r="AM11" s="53" cm="1">
        <f t="array" ref="AM11">ROUND((Data15272025121621[[#This Row],[روز بیمه]]/list_info302332152027[تعداد روز ماه])*Data15272025121621[[#This Row],[تعداد فرزند]]*list_info302332152027[حق اولاد],0)</f>
        <v>0</v>
      </c>
      <c r="AN11" s="53" cm="1">
        <f t="array" ref="AN11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11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130435308</v>
      </c>
      <c r="AP11" s="48">
        <f>ROUND(Data15272025121621[[#This Row],[سایر مزایا]]+Data15272025121621[[#This Row],[اضافه کار]]+Data15272025121621[[#This Row],[جمعه کاری]],0)</f>
        <v>78435308</v>
      </c>
      <c r="AQ11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11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122444137</v>
      </c>
      <c r="AS11" s="47">
        <f>Data15272025121621[[#This Row],[روز بیمه]]*Data15272025121621[[#This Row],[پایه سنواتی]]*Data15272025121621[[#This Row],[تعداد سال کارکرد]]</f>
        <v>0</v>
      </c>
      <c r="AT11" s="53">
        <f>ROUND(Data15272025121621[[#This Row],[جمع حقوق و مزایا مشمول بیمه]]*0.07,0)</f>
        <v>21863693</v>
      </c>
      <c r="AU11" s="53">
        <f>ROUND(Data15272025121621[[#This Row],[جمع حقوق و مزایا مشمول بیمه]]*0.2,0)</f>
        <v>62467694</v>
      </c>
      <c r="AV11" s="53">
        <f>ROUND(Data15272025121621[[#This Row],[جمع حقوق و مزایا مشمول بیمه]]*0.03,0)</f>
        <v>9370154</v>
      </c>
      <c r="AW11" s="53">
        <f>Data15272025121621[[#This Row],[بیمه بیکاری]]+Data15272025121621[[#This Row],[بیمه سهم کارفرما]]+Data15272025121621[[#This Row],[بیمه سهم کارگر]]</f>
        <v>93701541</v>
      </c>
      <c r="AX11" s="48">
        <f>Data15272025121621[[#This Row],[روز بیمه]]*Data15272025121621[[#This Row],[مزد مبنا]]</f>
        <v>181903164</v>
      </c>
      <c r="AY11" s="48">
        <f>Data15272025121621[[#This Row],[حقوق پایه]]+Data15272025121621[[#This Row],[مزایا مستمر مشمول مالیات]]</f>
        <v>233903164</v>
      </c>
      <c r="AZ11" s="49">
        <f>(Data15272025121621[[#This Row],[حقوق پایه]]+Data15272025121621[[#This Row],[ مزایا مشمول]])*Data15272025121621[[#This Row],[بیمه]]</f>
        <v>312338472</v>
      </c>
      <c r="BA11" s="54">
        <f>ROUND(((Data15272025121621[[#This Row],[ساعت کارکرد]]/Data15272025121621[[#This Row],[کارکرد قرارداد شده]])*Data15272025121621[[#This Row],[حقوق قرارداد شده]]),0)</f>
        <v>434782609</v>
      </c>
      <c r="BB11" s="54">
        <f>Data15272025121621[[#This Row],[بیمه سهم کارگر]]</f>
        <v>21863693</v>
      </c>
      <c r="BC11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412918915</v>
      </c>
      <c r="BD11" s="125" t="str">
        <f>_xlfn.XLOOKUP(Data15272025121621[[#This Row],[کد ملی]],emp_info[کد ملی],emp_info[شماره حساب])</f>
        <v>0354031479009</v>
      </c>
      <c r="BE11" s="50">
        <f>TRUNC(Data15272025121621[[#This Row],[حقوق خالص]]-Data15272025121621[[#This Row],[کسر مساعده]])</f>
        <v>412918915</v>
      </c>
      <c r="BF11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G11" s="113"/>
      <c r="BH11" s="113">
        <v>93842382</v>
      </c>
      <c r="BI11" s="113">
        <v>63028233</v>
      </c>
      <c r="BJ11" s="20">
        <f t="shared" si="0"/>
        <v>78435307.5</v>
      </c>
      <c r="BK11" s="2"/>
      <c r="BL11" s="2">
        <f>Data15272025121621[[#This Row],[بیمه]]</f>
        <v>1</v>
      </c>
      <c r="BM11" s="114" t="str" cm="1">
        <f t="array" ref="BM11">DSKKAR1817292231141823[DSK_ID]</f>
        <v>4894290013</v>
      </c>
      <c r="BN11" s="115" t="str" cm="1">
        <f t="array" ref="BN11">DSKKAR1817292231141823[DSK_YY]</f>
        <v>05</v>
      </c>
      <c r="BO11" s="115" t="str" cm="1">
        <f t="array" ref="BO11">DSKKAR1817292231141823[DSK_MM]</f>
        <v>04</v>
      </c>
      <c r="BP11" s="116" t="str" cm="1">
        <f t="array" ref="BP11">DSKKAR1817292231141823[DSK_LISTNO]</f>
        <v>01</v>
      </c>
      <c r="BQ11" s="117">
        <f>_xlfn.XLOOKUP(Data15272025121621[[#This Row],[کد ملی]],emp_info[کد ملی],emp_info[شماره بیمه],"یافت نشد")</f>
        <v>11475355</v>
      </c>
      <c r="BR11" s="116" t="str">
        <f>_xlfn.XLOOKUP(Data15272025121621[[#This Row],[کد ملی]],emp_info[کد ملی],emp_info[نام],"یافت نشد")</f>
        <v>عليرضا</v>
      </c>
      <c r="BS11" s="116" t="str">
        <f>_xlfn.XLOOKUP(Data15272025121621[[#This Row],[کد ملی]],emp_info[کد ملی],emp_info[نام خانوادگی],"یافت نشد")</f>
        <v>شيباني</v>
      </c>
      <c r="BT11" s="116" t="str">
        <f>_xlfn.XLOOKUP(Data15272025121621[[#This Row],[کد ملی]],emp_info[کد ملی],emp_info[نام  پدر],"یافت نشد")</f>
        <v>غلام آقا</v>
      </c>
      <c r="BU11" s="116">
        <f>_xlfn.XLOOKUP(Data15272025121621[[#This Row],[کد ملی]],emp_info[کد ملی],emp_info[شماره شناسنامه],"یافت نشد")</f>
        <v>6810017488</v>
      </c>
      <c r="BV11" s="116" t="str">
        <f>_xlfn.XLOOKUP(Data15272025121621[[#This Row],[کد ملی]],emp_info[کد ملی],emp_info[محل صدور],"یافت نشد")</f>
        <v>خرم بید</v>
      </c>
      <c r="BW11" s="116">
        <f>_xlfn.XLOOKUP(Data15272025121621[[#This Row],[کد ملی]],emp_info[کد ملی],emp_info[تاریخ صدور],"یافت نشد")</f>
        <v>0</v>
      </c>
      <c r="BX11" s="116">
        <f>_xlfn.XLOOKUP(Data15272025121621[[#This Row],[کد ملی]],emp_info[کد ملی],emp_info[تاریخ تولد],"یافت نشد")</f>
        <v>13770203</v>
      </c>
      <c r="BY11" s="116" t="str">
        <f>_xlfn.XLOOKUP(Data15272025121621[[#This Row],[کد ملی]],emp_info[کد ملی],emp_info[جنسیت],"یافت نشد")</f>
        <v>مرد</v>
      </c>
      <c r="BZ11" s="116" t="s">
        <v>122</v>
      </c>
      <c r="CA11" s="116" t="str">
        <f>_xlfn.XLOOKUP(Data15272025121621[[#This Row],[کد ملی]],emp_info[کد ملی],emp_info[سمت شغل],"یافت نشد")</f>
        <v>امورپشتيباني</v>
      </c>
      <c r="CB11" s="116">
        <f>_xlfn.XLOOKUP(Data15272025121621[[#This Row],[کد ملی]],emp_info[کد ملی],emp_info[تاریخ شروع به کار],"یافت نشد")</f>
        <v>14040901</v>
      </c>
      <c r="CC11" s="118">
        <f>_xlfn.XLOOKUP(Data15272025121621[[#This Row],[کد ملی]],emp_info[کد ملی],emp_info[ [ تاریخ پایان کار] ],"یافت نشد")</f>
        <v>0</v>
      </c>
      <c r="CD11" s="118">
        <f>Data15272025121621[[#This Row],[روز بیمه]]</f>
        <v>31</v>
      </c>
      <c r="CE11" s="118">
        <f>Data15272025121621[[#This Row],[مزد روزانه ]]</f>
        <v>5867844</v>
      </c>
      <c r="CF11" s="118">
        <f>Data15272025121621[[#This Row],[حقوق پایه]]</f>
        <v>181903164</v>
      </c>
      <c r="CG11" s="118">
        <f>Data15272025121621[[#This Row],[ مزایا مشمول]]</f>
        <v>130435308</v>
      </c>
      <c r="CH11" s="118">
        <f>Data15272025121621[[#This Row],[جمع حقوق و مزایا مشمول بیمه]]</f>
        <v>312338472</v>
      </c>
      <c r="CI11" s="117">
        <f>Data15272025121621[[#This Row],[حقوق ناخالص]]</f>
        <v>434782609</v>
      </c>
      <c r="CJ11" s="117">
        <f>Data15272025121621[[#This Row],[بیمه سهم کارگر]]</f>
        <v>21863693</v>
      </c>
      <c r="CK11" s="116">
        <v>0</v>
      </c>
      <c r="CL11" s="116" t="str">
        <f>TEXT(_xlfn.XLOOKUP(Data15272025121621[[#This Row],[کد ملی]],emp_info[کد ملی],emp_info[کد شغل],"یافت نشد"),"000000")</f>
        <v>000222</v>
      </c>
      <c r="CM11" s="116">
        <f>Data15272025121621[[#This Row],[کد ملی]]</f>
        <v>6810017488</v>
      </c>
      <c r="CN11" s="116">
        <f>Data15272025121621[[#This Row],[پایه سنواتی]]*Data15272025121621[[#This Row],[تعداد سال کارکرد]]</f>
        <v>0</v>
      </c>
      <c r="CO11" s="117">
        <f>Data15272025121621[[#This Row],[حق تاهل]]</f>
        <v>0</v>
      </c>
    </row>
    <row r="12" spans="1:93" ht="24.95" customHeight="1">
      <c r="A12" s="135" t="str">
        <f>_xlfn.XLOOKUP(Data15272025121621[[#This Row],[کد ملی]],emp_info[کد ملی],emp_info[گروه])</f>
        <v>شاغل</v>
      </c>
      <c r="B12" s="121">
        <f>ROWS($A$1:A6)</f>
        <v>6</v>
      </c>
      <c r="C12" s="121">
        <f>_xlfn.XLOOKUP(Data15272025121621[[#This Row],[کد ملی]],emp_info[کد ملی],emp_info[maliat])</f>
        <v>0</v>
      </c>
      <c r="D12" s="121">
        <f>_xlfn.XLOOKUP(Data15272025121621[[#This Row],[کد ملی]],emp_info[کد ملی],emp_info[بیمه])</f>
        <v>0</v>
      </c>
      <c r="E12" s="121">
        <f>_xlfn.XLOOKUP(Data15272025121621[[#This Row],[کد ملی]],emp_info[کد ملی],emp_info[bank])</f>
        <v>1</v>
      </c>
      <c r="F12" s="5">
        <v>1911058290</v>
      </c>
      <c r="G12" s="47" t="str">
        <f>_xlfn.XLOOKUP(Data15272025121621[[#This Row],[کد ملی]],emp_info[کد ملی],emp_info[نام])&amp;" "&amp;_xlfn.XLOOKUP(Data15272025121621[[#This Row],[کد ملی]],emp_info[کد ملی],emp_info[نام خانوادگی])</f>
        <v>مسعود جعفري</v>
      </c>
      <c r="H12" s="47" t="str">
        <f>_xlfn.XLOOKUP(Data15272025121621[[#This Row],[کد ملی]],emp_info[کد ملی],emp_info[وضعیت تاهل],"یافت نشد")</f>
        <v>متاهل</v>
      </c>
      <c r="I12" s="47">
        <f>_xlfn.XLOOKUP(Data15272025121621[[#This Row],[کد ملی]],emp_info[کد ملی],emp_info[تعداد فرزند],"یافت نشد")</f>
        <v>4</v>
      </c>
      <c r="J12" s="47">
        <f>_xlfn.XLOOKUP(Data15272025121621[[#This Row],[کد ملی]],emp_info[کد ملی],emp_info[ساعت کار قرارداد شده],"یافت نشد")</f>
        <v>230</v>
      </c>
      <c r="K12" s="53">
        <f>_xlfn.XLOOKUP(Data15272025121621[[#This Row],[کد ملی]],emp_info[کد ملی],emp_info[حقوق قرارداد شده],"یافت نشد")</f>
        <v>600000000</v>
      </c>
      <c r="L12" s="47">
        <f>_xlfn.XLOOKUP(Data15272025121621[[#This Row],[کد ملی]],emp_info[کد ملی],emp_info[گروه شغلی],"یافت نشد")</f>
        <v>10</v>
      </c>
      <c r="M12" s="48">
        <f>_xlfn.XLOOKUP(Data15272025121621[[#This Row],[کد ملی]],emp_info[کد ملی],emp_info[[مزد روزانه ]],"یافت نشد")</f>
        <v>5867844</v>
      </c>
      <c r="N12" s="47">
        <f>_xlfn.XLOOKUP(Data15272025121621[[#This Row],[کد ملی]],emp_info[کد ملی],emp_info[پایه سنواتی],"یافت نشد")</f>
        <v>168467</v>
      </c>
      <c r="O12" s="47">
        <f>_xlfn.XLOOKUP(Data15272025121621[[#This Row],[کد ملی]],emp_info[کد ملی],emp_info[تعداد سال کارکرد],"یافت نشد")</f>
        <v>0</v>
      </c>
      <c r="P12" s="47">
        <f>_xlfn.XLOOKUP(Data15272025121621[[#This Row],[کد ملی]],emp_info[کد ملی],emp_info[مزد مبنا],"یافت نشد")</f>
        <v>5867844</v>
      </c>
      <c r="Q12" s="47">
        <v>240</v>
      </c>
      <c r="R12" s="47">
        <v>31</v>
      </c>
      <c r="S12" s="47">
        <v>0</v>
      </c>
      <c r="T12" s="47">
        <v>0</v>
      </c>
      <c r="U12" s="49">
        <f>TRUNC(Data15272025121621[[#This Row],[حق ماموریت]]/Data15272025121621[[#This Row],[مزد مبنا]])</f>
        <v>9</v>
      </c>
      <c r="V12" s="47">
        <v>0</v>
      </c>
      <c r="W12" s="53">
        <v>0</v>
      </c>
      <c r="X12" s="53">
        <v>0</v>
      </c>
      <c r="Y12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2" s="53">
        <v>138336383.5</v>
      </c>
      <c r="AA12" s="49" cm="1">
        <f t="array" ref="AA12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82754923</v>
      </c>
      <c r="AB12" s="49" cm="1">
        <f t="array" ref="AB12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55581460</v>
      </c>
      <c r="AC12" s="53" cm="1">
        <f t="array" ref="AC12">ROUND(5*Data15272025121621[[#This Row],[مزد مبنا]]*(Data15272025121621[[#This Row],[روز بیمه]]/list_info302332152027[تعداد روز ماه]),0)</f>
        <v>29339220</v>
      </c>
      <c r="AD12" s="53">
        <f>ROUND(2.5*(Data15272025121621[[#This Row],[پایه سنواتی]]+Data15272025121621[[#This Row],[مزد روزانه ]])*0,0)</f>
        <v>0</v>
      </c>
      <c r="AE12" s="48" cm="1">
        <f t="array" ref="AE12">ROUND(22000000*Data15272025121621[[#This Row],[روز بیمه]]/list_info302332152027[تعداد روز ماه],0)</f>
        <v>22000000</v>
      </c>
      <c r="AF12" s="48" cm="1">
        <f t="array" ref="AF12">ROUND(list_info302332152027[حق مسکن]*Data15272025121621[[#This Row],[روز بیمه]]/list_info302332152027[تعداد روز ماه],0)</f>
        <v>30000000</v>
      </c>
      <c r="AG12" s="47" cm="1">
        <f t="array" ref="AG12">ROUND(IF(Data15272025121621[[#This Row],[وضعیت تاهل]]="متاهل",list_info302332152027[حق تاهل],0)*Data15272025121621[[#This Row],[روز بیمه]]/list_info302332152027[تعداد روز ماه],0)</f>
        <v>5000000</v>
      </c>
      <c r="AH12" s="47" cm="1">
        <f t="array" ref="AH12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2" s="57" cm="1">
        <f t="array" ref="AI12">list_info302332152027[[درصد فوق العاده جذب تخصصی ماهیانه ]]*Data15272025121621[[#This Row],[مزد روزانه ]]*Data15272025121621[[#This Row],[روز بیمه]]</f>
        <v>0</v>
      </c>
      <c r="AJ12" s="57" cm="1">
        <f t="array" ref="AJ12">list_info302332152027[درصد فوق العاده بدی آب و هوا]*Data15272025121621[[#This Row],[مزد روزانه ]]*Data15272025121621[[#This Row],[روز بیمه]]</f>
        <v>0</v>
      </c>
      <c r="AK12" s="57" cm="1">
        <f t="array" ref="AK12">list_info302332152027[[فوق العاده جذب تخصصی دوری از خانواده ]]*Data15272025121621[[#This Row],[مزد روزانه ]]*Data15272025121621[[#This Row],[روز بیمه]]</f>
        <v>0</v>
      </c>
      <c r="AL12" s="57" cm="1">
        <f t="array" ref="AL12">list_info302332152027[فوق العاده پارس جنوبی]*Data15272025121621[[#This Row],[مزد روزانه ]]*Data15272025121621[[#This Row],[روز بیمه]]</f>
        <v>0</v>
      </c>
      <c r="AM12" s="53" cm="1">
        <f t="array" ref="AM12">ROUND((Data15272025121621[[#This Row],[روز بیمه]]/list_info302332152027[تعداد روز ماه])*Data15272025121621[[#This Row],[تعداد فرزند]]*list_info302332152027[حق اولاد],0)</f>
        <v>66502196</v>
      </c>
      <c r="AN12" s="53" cm="1">
        <f t="array" ref="AN12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12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195336384</v>
      </c>
      <c r="AP12" s="48">
        <f>ROUND(Data15272025121621[[#This Row],[سایر مزایا]]+Data15272025121621[[#This Row],[اضافه کار]]+Data15272025121621[[#This Row],[جمعه کاری]],0)</f>
        <v>138336384</v>
      </c>
      <c r="AQ12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123502196</v>
      </c>
      <c r="AR12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248847409</v>
      </c>
      <c r="AS12" s="47">
        <f>Data15272025121621[[#This Row],[روز بیمه]]*Data15272025121621[[#This Row],[پایه سنواتی]]*Data15272025121621[[#This Row],[تعداد سال کارکرد]]</f>
        <v>0</v>
      </c>
      <c r="AT12" s="53">
        <f>ROUND(Data15272025121621[[#This Row],[جمع حقوق و مزایا مشمول بیمه]]*0.07,0)</f>
        <v>0</v>
      </c>
      <c r="AU12" s="53">
        <f>ROUND(Data15272025121621[[#This Row],[جمع حقوق و مزایا مشمول بیمه]]*0.2,0)</f>
        <v>0</v>
      </c>
      <c r="AV12" s="53">
        <f>ROUND(Data15272025121621[[#This Row],[جمع حقوق و مزایا مشمول بیمه]]*0.03,0)</f>
        <v>0</v>
      </c>
      <c r="AW12" s="53">
        <f>Data15272025121621[[#This Row],[بیمه بیکاری]]+Data15272025121621[[#This Row],[بیمه سهم کارفرما]]+Data15272025121621[[#This Row],[بیمه سهم کارگر]]</f>
        <v>0</v>
      </c>
      <c r="AX12" s="48">
        <f>Data15272025121621[[#This Row],[روز بیمه]]*Data15272025121621[[#This Row],[مزد مبنا]]</f>
        <v>181903164</v>
      </c>
      <c r="AY12" s="48">
        <f>Data15272025121621[[#This Row],[حقوق پایه]]+Data15272025121621[[#This Row],[مزایا مستمر مشمول مالیات]]</f>
        <v>305405360</v>
      </c>
      <c r="AZ12" s="49">
        <f>(Data15272025121621[[#This Row],[حقوق پایه]]+Data15272025121621[[#This Row],[ مزایا مشمول]])*Data15272025121621[[#This Row],[بیمه]]</f>
        <v>0</v>
      </c>
      <c r="BA12" s="54">
        <f>ROUND(((Data15272025121621[[#This Row],[ساعت کارکرد]]/Data15272025121621[[#This Row],[کارکرد قرارداد شده]])*Data15272025121621[[#This Row],[حقوق قرارداد شده]]),0)</f>
        <v>626086957</v>
      </c>
      <c r="BB12" s="54">
        <f>Data15272025121621[[#This Row],[بیمه سهم کارگر]]</f>
        <v>0</v>
      </c>
      <c r="BC12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626086956</v>
      </c>
      <c r="BD12" s="125" t="str">
        <f>_xlfn.XLOOKUP(Data15272025121621[[#This Row],[کد ملی]],emp_info[کد ملی],emp_info[شماره حساب])</f>
        <v>0110920883000</v>
      </c>
      <c r="BE12" s="50">
        <f>TRUNC(Data15272025121621[[#This Row],[حقوق خالص]]-Data15272025121621[[#This Row],[کسر مساعده]])</f>
        <v>626086956</v>
      </c>
      <c r="BF12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12" s="2">
        <v>165509847</v>
      </c>
      <c r="BI12" s="2">
        <v>111162920</v>
      </c>
      <c r="BJ12" s="20">
        <f t="shared" si="0"/>
        <v>138336383.5</v>
      </c>
      <c r="BL12" s="2">
        <f>Data15272025121621[[#This Row],[بیمه]]</f>
        <v>0</v>
      </c>
      <c r="BM12" s="114" t="str" cm="1">
        <f t="array" ref="BM12">DSKKAR1817292231141823[DSK_ID]</f>
        <v>4894290013</v>
      </c>
      <c r="BN12" s="115" t="str" cm="1">
        <f t="array" ref="BN12">DSKKAR1817292231141823[DSK_YY]</f>
        <v>05</v>
      </c>
      <c r="BO12" s="115" t="str" cm="1">
        <f t="array" ref="BO12">DSKKAR1817292231141823[DSK_MM]</f>
        <v>04</v>
      </c>
      <c r="BP12" s="116" t="str" cm="1">
        <f t="array" ref="BP12">DSKKAR1817292231141823[DSK_LISTNO]</f>
        <v>01</v>
      </c>
      <c r="BQ12" s="117">
        <f>_xlfn.XLOOKUP(Data15272025121621[[#This Row],[کد ملی]],emp_info[کد ملی],emp_info[شماره بیمه],"یافت نشد")</f>
        <v>0</v>
      </c>
      <c r="BR12" s="116" t="str">
        <f>_xlfn.XLOOKUP(Data15272025121621[[#This Row],[کد ملی]],emp_info[کد ملی],emp_info[نام],"یافت نشد")</f>
        <v>مسعود</v>
      </c>
      <c r="BS12" s="116" t="str">
        <f>_xlfn.XLOOKUP(Data15272025121621[[#This Row],[کد ملی]],emp_info[کد ملی],emp_info[نام خانوادگی],"یافت نشد")</f>
        <v>جعفري</v>
      </c>
      <c r="BT12" s="116" t="str">
        <f>_xlfn.XLOOKUP(Data15272025121621[[#This Row],[کد ملی]],emp_info[کد ملی],emp_info[نام  پدر],"یافت نشد")</f>
        <v>منصور</v>
      </c>
      <c r="BU12" s="116">
        <f>_xlfn.XLOOKUP(Data15272025121621[[#This Row],[کد ملی]],emp_info[کد ملی],emp_info[شماره شناسنامه],"یافت نشد")</f>
        <v>1911058290</v>
      </c>
      <c r="BV12" s="116" t="str">
        <f>_xlfn.XLOOKUP(Data15272025121621[[#This Row],[کد ملی]],emp_info[کد ملی],emp_info[محل صدور],"یافت نشد")</f>
        <v>رامهرمز</v>
      </c>
      <c r="BW12" s="116">
        <f>_xlfn.XLOOKUP(Data15272025121621[[#This Row],[کد ملی]],emp_info[کد ملی],emp_info[تاریخ صدور],"یافت نشد")</f>
        <v>0</v>
      </c>
      <c r="BX12" s="116">
        <f>_xlfn.XLOOKUP(Data15272025121621[[#This Row],[کد ملی]],emp_info[کد ملی],emp_info[تاریخ تولد],"یافت نشد")</f>
        <v>13410501</v>
      </c>
      <c r="BY12" s="116" t="str">
        <f>_xlfn.XLOOKUP(Data15272025121621[[#This Row],[کد ملی]],emp_info[کد ملی],emp_info[جنسیت],"یافت نشد")</f>
        <v>مرد</v>
      </c>
      <c r="BZ12" s="116" t="s">
        <v>122</v>
      </c>
      <c r="CA12" s="116" t="str">
        <f>_xlfn.XLOOKUP(Data15272025121621[[#This Row],[کد ملی]],emp_info[کد ملی],emp_info[سمت شغل],"یافت نشد")</f>
        <v>انباردار</v>
      </c>
      <c r="CB12" s="116">
        <f>_xlfn.XLOOKUP(Data15272025121621[[#This Row],[کد ملی]],emp_info[کد ملی],emp_info[تاریخ شروع به کار],"یافت نشد")</f>
        <v>14040901</v>
      </c>
      <c r="CC12" s="118">
        <f>_xlfn.XLOOKUP(Data15272025121621[[#This Row],[کد ملی]],emp_info[کد ملی],emp_info[ [ تاریخ پایان کار] ],"یافت نشد")</f>
        <v>0</v>
      </c>
      <c r="CD12" s="118">
        <f>Data15272025121621[[#This Row],[روز بیمه]]</f>
        <v>31</v>
      </c>
      <c r="CE12" s="118">
        <f>Data15272025121621[[#This Row],[مزد روزانه ]]</f>
        <v>5867844</v>
      </c>
      <c r="CF12" s="118">
        <f>Data15272025121621[[#This Row],[حقوق پایه]]</f>
        <v>181903164</v>
      </c>
      <c r="CG12" s="118">
        <f>Data15272025121621[[#This Row],[ مزایا مشمول]]</f>
        <v>195336384</v>
      </c>
      <c r="CH12" s="118">
        <f>Data15272025121621[[#This Row],[جمع حقوق و مزایا مشمول بیمه]]</f>
        <v>0</v>
      </c>
      <c r="CI12" s="117">
        <f>Data15272025121621[[#This Row],[حقوق ناخالص]]</f>
        <v>626086957</v>
      </c>
      <c r="CJ12" s="117">
        <f>Data15272025121621[[#This Row],[بیمه سهم کارگر]]</f>
        <v>0</v>
      </c>
      <c r="CK12" s="116">
        <v>1</v>
      </c>
      <c r="CL12" s="116" t="str">
        <f>TEXT(_xlfn.XLOOKUP(Data15272025121621[[#This Row],[کد ملی]],emp_info[کد ملی],emp_info[کد شغل],"یافت نشد"),"000000")</f>
        <v>000255</v>
      </c>
      <c r="CM12" s="116">
        <f>Data15272025121621[[#This Row],[کد ملی]]</f>
        <v>1911058290</v>
      </c>
      <c r="CN12" s="116">
        <f>Data15272025121621[[#This Row],[پایه سنواتی]]*Data15272025121621[[#This Row],[تعداد سال کارکرد]]</f>
        <v>0</v>
      </c>
      <c r="CO12" s="117">
        <f>Data15272025121621[[#This Row],[حق تاهل]]</f>
        <v>5000000</v>
      </c>
    </row>
    <row r="13" spans="1:93" ht="24.95" customHeight="1">
      <c r="A13" s="135" t="str">
        <f>_xlfn.XLOOKUP(Data15272025121621[[#This Row],[کد ملی]],emp_info[کد ملی],emp_info[گروه])</f>
        <v>شاغل</v>
      </c>
      <c r="B13" s="121">
        <f>ROWS($A$1:A7)</f>
        <v>7</v>
      </c>
      <c r="C13" s="121">
        <f>_xlfn.XLOOKUP(Data15272025121621[[#This Row],[کد ملی]],emp_info[کد ملی],emp_info[maliat])</f>
        <v>0</v>
      </c>
      <c r="D13" s="121">
        <f>_xlfn.XLOOKUP(Data15272025121621[[#This Row],[کد ملی]],emp_info[کد ملی],emp_info[بیمه])</f>
        <v>0</v>
      </c>
      <c r="E13" s="121">
        <f>_xlfn.XLOOKUP(Data15272025121621[[#This Row],[کد ملی]],emp_info[کد ملی],emp_info[bank])</f>
        <v>1</v>
      </c>
      <c r="F13" s="5">
        <v>2360078860</v>
      </c>
      <c r="G13" s="47" t="str">
        <f>_xlfn.XLOOKUP(Data15272025121621[[#This Row],[کد ملی]],emp_info[کد ملی],emp_info[نام])&amp;" "&amp;_xlfn.XLOOKUP(Data15272025121621[[#This Row],[کد ملی]],emp_info[کد ملی],emp_info[نام خانوادگی])</f>
        <v>رضا محمدي</v>
      </c>
      <c r="H13" s="47" t="str">
        <f>_xlfn.XLOOKUP(Data15272025121621[[#This Row],[کد ملی]],emp_info[کد ملی],emp_info[وضعیت تاهل],"یافت نشد")</f>
        <v>متاهل</v>
      </c>
      <c r="I13" s="47">
        <f>_xlfn.XLOOKUP(Data15272025121621[[#This Row],[کد ملی]],emp_info[کد ملی],emp_info[تعداد فرزند],"یافت نشد")</f>
        <v>1</v>
      </c>
      <c r="J13" s="47">
        <f>_xlfn.XLOOKUP(Data15272025121621[[#This Row],[کد ملی]],emp_info[کد ملی],emp_info[ساعت کار قرارداد شده],"یافت نشد")</f>
        <v>230</v>
      </c>
      <c r="K13" s="53">
        <f>_xlfn.XLOOKUP(Data15272025121621[[#This Row],[کد ملی]],emp_info[کد ملی],emp_info[حقوق قرارداد شده],"یافت نشد")</f>
        <v>600000000</v>
      </c>
      <c r="L13" s="47">
        <f>_xlfn.XLOOKUP(Data15272025121621[[#This Row],[کد ملی]],emp_info[کد ملی],emp_info[گروه شغلی],"یافت نشد")</f>
        <v>10</v>
      </c>
      <c r="M13" s="48">
        <f>_xlfn.XLOOKUP(Data15272025121621[[#This Row],[کد ملی]],emp_info[کد ملی],emp_info[[مزد روزانه ]],"یافت نشد")</f>
        <v>5867844</v>
      </c>
      <c r="N13" s="47">
        <f>_xlfn.XLOOKUP(Data15272025121621[[#This Row],[کد ملی]],emp_info[کد ملی],emp_info[پایه سنواتی],"یافت نشد")</f>
        <v>168467</v>
      </c>
      <c r="O13" s="47">
        <f>_xlfn.XLOOKUP(Data15272025121621[[#This Row],[کد ملی]],emp_info[کد ملی],emp_info[تعداد سال کارکرد],"یافت نشد")</f>
        <v>0</v>
      </c>
      <c r="P13" s="47">
        <f>_xlfn.XLOOKUP(Data15272025121621[[#This Row],[کد ملی]],emp_info[کد ملی],emp_info[مزد مبنا],"یافت نشد")</f>
        <v>5867844</v>
      </c>
      <c r="Q13" s="47">
        <v>150</v>
      </c>
      <c r="R13" s="47">
        <v>31</v>
      </c>
      <c r="S13" s="47">
        <v>0</v>
      </c>
      <c r="T13" s="47">
        <v>0</v>
      </c>
      <c r="U13" s="49">
        <f>TRUNC(Data15272025121621[[#This Row],[حق ماموریت]]/Data15272025121621[[#This Row],[مزد مبنا]])</f>
        <v>3</v>
      </c>
      <c r="V13" s="47">
        <v>0</v>
      </c>
      <c r="W13" s="53">
        <v>0</v>
      </c>
      <c r="X13" s="53">
        <v>0</v>
      </c>
      <c r="Y13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3" s="53">
        <v>45883402.5</v>
      </c>
      <c r="AA13" s="49" cm="1">
        <f t="array" ref="AA13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27448147</v>
      </c>
      <c r="AB13" s="49" cm="1">
        <f t="array" ref="AB13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18435255</v>
      </c>
      <c r="AC13" s="53" cm="1">
        <f t="array" ref="AC13">ROUND(5*Data15272025121621[[#This Row],[مزد مبنا]]*(Data15272025121621[[#This Row],[روز بیمه]]/list_info302332152027[تعداد روز ماه]),0)</f>
        <v>29339220</v>
      </c>
      <c r="AD13" s="53">
        <f>ROUND(2.5*(Data15272025121621[[#This Row],[پایه سنواتی]]+Data15272025121621[[#This Row],[مزد روزانه ]])*0,0)</f>
        <v>0</v>
      </c>
      <c r="AE13" s="48" cm="1">
        <f t="array" ref="AE13">ROUND(22000000*Data15272025121621[[#This Row],[روز بیمه]]/list_info302332152027[تعداد روز ماه],0)</f>
        <v>22000000</v>
      </c>
      <c r="AF13" s="48" cm="1">
        <f t="array" ref="AF13">ROUND(list_info302332152027[حق مسکن]*Data15272025121621[[#This Row],[روز بیمه]]/list_info302332152027[تعداد روز ماه],0)</f>
        <v>30000000</v>
      </c>
      <c r="AG13" s="47" cm="1">
        <f t="array" ref="AG13">ROUND(IF(Data15272025121621[[#This Row],[وضعیت تاهل]]="متاهل",list_info302332152027[حق تاهل],0)*Data15272025121621[[#This Row],[روز بیمه]]/list_info302332152027[تعداد روز ماه],0)</f>
        <v>5000000</v>
      </c>
      <c r="AH13" s="47" cm="1">
        <f t="array" ref="AH13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3" s="57" cm="1">
        <f t="array" ref="AI13">list_info302332152027[[درصد فوق العاده جذب تخصصی ماهیانه ]]*Data15272025121621[[#This Row],[مزد روزانه ]]*Data15272025121621[[#This Row],[روز بیمه]]</f>
        <v>0</v>
      </c>
      <c r="AJ13" s="57" cm="1">
        <f t="array" ref="AJ13">list_info302332152027[درصد فوق العاده بدی آب و هوا]*Data15272025121621[[#This Row],[مزد روزانه ]]*Data15272025121621[[#This Row],[روز بیمه]]</f>
        <v>0</v>
      </c>
      <c r="AK13" s="57" cm="1">
        <f t="array" ref="AK13">list_info302332152027[[فوق العاده جذب تخصصی دوری از خانواده ]]*Data15272025121621[[#This Row],[مزد روزانه ]]*Data15272025121621[[#This Row],[روز بیمه]]</f>
        <v>0</v>
      </c>
      <c r="AL13" s="57" cm="1">
        <f t="array" ref="AL13">list_info302332152027[فوق العاده پارس جنوبی]*Data15272025121621[[#This Row],[مزد روزانه ]]*Data15272025121621[[#This Row],[روز بیمه]]</f>
        <v>0</v>
      </c>
      <c r="AM13" s="53" cm="1">
        <f t="array" ref="AM13">ROUND((Data15272025121621[[#This Row],[روز بیمه]]/list_info302332152027[تعداد روز ماه])*Data15272025121621[[#This Row],[تعداد فرزند]]*list_info302332152027[حق اولاد],0)</f>
        <v>16625549</v>
      </c>
      <c r="AN13" s="53" cm="1">
        <f t="array" ref="AN13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13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102883403</v>
      </c>
      <c r="AP13" s="48">
        <f>ROUND(Data15272025121621[[#This Row],[سایر مزایا]]+Data15272025121621[[#This Row],[اضافه کار]]+Data15272025121621[[#This Row],[جمعه کاری]],0)</f>
        <v>45883403</v>
      </c>
      <c r="AQ13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73625549</v>
      </c>
      <c r="AR13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106517781</v>
      </c>
      <c r="AS13" s="47">
        <f>Data15272025121621[[#This Row],[روز بیمه]]*Data15272025121621[[#This Row],[پایه سنواتی]]*Data15272025121621[[#This Row],[تعداد سال کارکرد]]</f>
        <v>0</v>
      </c>
      <c r="AT13" s="53">
        <f>ROUND(Data15272025121621[[#This Row],[جمع حقوق و مزایا مشمول بیمه]]*0.07,0)</f>
        <v>0</v>
      </c>
      <c r="AU13" s="53">
        <f>ROUND(Data15272025121621[[#This Row],[جمع حقوق و مزایا مشمول بیمه]]*0.2,0)</f>
        <v>0</v>
      </c>
      <c r="AV13" s="53">
        <f>ROUND(Data15272025121621[[#This Row],[جمع حقوق و مزایا مشمول بیمه]]*0.03,0)</f>
        <v>0</v>
      </c>
      <c r="AW13" s="53">
        <f>Data15272025121621[[#This Row],[بیمه بیکاری]]+Data15272025121621[[#This Row],[بیمه سهم کارفرما]]+Data15272025121621[[#This Row],[بیمه سهم کارگر]]</f>
        <v>0</v>
      </c>
      <c r="AX13" s="48">
        <f>Data15272025121621[[#This Row],[روز بیمه]]*Data15272025121621[[#This Row],[مزد مبنا]]</f>
        <v>181903164</v>
      </c>
      <c r="AY13" s="48">
        <f>Data15272025121621[[#This Row],[حقوق پایه]]+Data15272025121621[[#This Row],[مزایا مستمر مشمول مالیات]]</f>
        <v>255528713</v>
      </c>
      <c r="AZ13" s="49">
        <f>(Data15272025121621[[#This Row],[حقوق پایه]]+Data15272025121621[[#This Row],[ مزایا مشمول]])*Data15272025121621[[#This Row],[بیمه]]</f>
        <v>0</v>
      </c>
      <c r="BA13" s="54">
        <f>ROUND(((Data15272025121621[[#This Row],[ساعت کارکرد]]/Data15272025121621[[#This Row],[کارکرد قرارداد شده]])*Data15272025121621[[#This Row],[حقوق قرارداد شده]]),0)</f>
        <v>391304348</v>
      </c>
      <c r="BB13" s="54">
        <f>Data15272025121621[[#This Row],[بیمه سهم کارگر]]</f>
        <v>0</v>
      </c>
      <c r="BC13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391304347</v>
      </c>
      <c r="BD13" s="125" t="str">
        <f>_xlfn.XLOOKUP(Data15272025121621[[#This Row],[کد ملی]],emp_info[کد ملی],emp_info[شماره حساب])</f>
        <v>0305538481003</v>
      </c>
      <c r="BE13" s="50">
        <f>TRUNC(Data15272025121621[[#This Row],[حقوق خالص]]-Data15272025121621[[#This Row],[کسر مساعده]])</f>
        <v>391304347</v>
      </c>
      <c r="BF13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13" s="142">
        <v>54896295</v>
      </c>
      <c r="BI13" s="2">
        <v>36870510</v>
      </c>
      <c r="BJ13" s="20">
        <f t="shared" si="0"/>
        <v>45883402.5</v>
      </c>
      <c r="BL13" s="2">
        <f>Data15272025121621[[#This Row],[بیمه]]</f>
        <v>0</v>
      </c>
      <c r="BM13" s="114" t="str" cm="1">
        <f t="array" ref="BM13">DSKKAR1817292231141823[DSK_ID]</f>
        <v>4894290013</v>
      </c>
      <c r="BN13" s="115" t="str" cm="1">
        <f t="array" ref="BN13">DSKKAR1817292231141823[DSK_YY]</f>
        <v>05</v>
      </c>
      <c r="BO13" s="115" t="str" cm="1">
        <f t="array" ref="BO13">DSKKAR1817292231141823[DSK_MM]</f>
        <v>04</v>
      </c>
      <c r="BP13" s="116" t="str" cm="1">
        <f t="array" ref="BP13">DSKKAR1817292231141823[DSK_LISTNO]</f>
        <v>01</v>
      </c>
      <c r="BQ13" s="117">
        <f>_xlfn.XLOOKUP(Data15272025121621[[#This Row],[کد ملی]],emp_info[کد ملی],emp_info[شماره بیمه],"یافت نشد")</f>
        <v>0</v>
      </c>
      <c r="BR13" s="116" t="str">
        <f>_xlfn.XLOOKUP(Data15272025121621[[#This Row],[کد ملی]],emp_info[کد ملی],emp_info[نام],"یافت نشد")</f>
        <v>رضا</v>
      </c>
      <c r="BS13" s="116" t="str">
        <f>_xlfn.XLOOKUP(Data15272025121621[[#This Row],[کد ملی]],emp_info[کد ملی],emp_info[نام خانوادگی],"یافت نشد")</f>
        <v>محمدي</v>
      </c>
      <c r="BT13" s="116" t="str">
        <f>_xlfn.XLOOKUP(Data15272025121621[[#This Row],[کد ملی]],emp_info[کد ملی],emp_info[نام  پدر],"یافت نشد")</f>
        <v>علی برات</v>
      </c>
      <c r="BU13" s="116">
        <f>_xlfn.XLOOKUP(Data15272025121621[[#This Row],[کد ملی]],emp_info[کد ملی],emp_info[شماره شناسنامه],"یافت نشد")</f>
        <v>2360078860</v>
      </c>
      <c r="BV13" s="116" t="str">
        <f>_xlfn.XLOOKUP(Data15272025121621[[#This Row],[کد ملی]],emp_info[کد ملی],emp_info[محل صدور],"یافت نشد")</f>
        <v>کوهمره</v>
      </c>
      <c r="BW13" s="116">
        <f>_xlfn.XLOOKUP(Data15272025121621[[#This Row],[کد ملی]],emp_info[کد ملی],emp_info[تاریخ صدور],"یافت نشد")</f>
        <v>0</v>
      </c>
      <c r="BX13" s="116">
        <f>_xlfn.XLOOKUP(Data15272025121621[[#This Row],[کد ملی]],emp_info[کد ملی],emp_info[تاریخ تولد],"یافت نشد")</f>
        <v>13671223</v>
      </c>
      <c r="BY13" s="116" t="str">
        <f>_xlfn.XLOOKUP(Data15272025121621[[#This Row],[کد ملی]],emp_info[کد ملی],emp_info[جنسیت],"یافت نشد")</f>
        <v>مرد</v>
      </c>
      <c r="BZ13" s="116" t="s">
        <v>122</v>
      </c>
      <c r="CA13" s="116" t="str">
        <f>_xlfn.XLOOKUP(Data15272025121621[[#This Row],[کد ملی]],emp_info[کد ملی],emp_info[سمت شغل],"یافت نشد")</f>
        <v>انباردار</v>
      </c>
      <c r="CB13" s="116">
        <f>_xlfn.XLOOKUP(Data15272025121621[[#This Row],[کد ملی]],emp_info[کد ملی],emp_info[تاریخ شروع به کار],"یافت نشد")</f>
        <v>14040901</v>
      </c>
      <c r="CC13" s="118">
        <f>_xlfn.XLOOKUP(Data15272025121621[[#This Row],[کد ملی]],emp_info[کد ملی],emp_info[ [ تاریخ پایان کار] ],"یافت نشد")</f>
        <v>0</v>
      </c>
      <c r="CD13" s="118">
        <f>Data15272025121621[[#This Row],[روز بیمه]]</f>
        <v>31</v>
      </c>
      <c r="CE13" s="118">
        <f>Data15272025121621[[#This Row],[مزد روزانه ]]</f>
        <v>5867844</v>
      </c>
      <c r="CF13" s="118">
        <f>Data15272025121621[[#This Row],[حقوق پایه]]</f>
        <v>181903164</v>
      </c>
      <c r="CG13" s="118">
        <f>Data15272025121621[[#This Row],[ مزایا مشمول]]</f>
        <v>102883403</v>
      </c>
      <c r="CH13" s="118">
        <f>Data15272025121621[[#This Row],[جمع حقوق و مزایا مشمول بیمه]]</f>
        <v>0</v>
      </c>
      <c r="CI13" s="117">
        <f>Data15272025121621[[#This Row],[حقوق ناخالص]]</f>
        <v>391304348</v>
      </c>
      <c r="CJ13" s="117">
        <f>Data15272025121621[[#This Row],[بیمه سهم کارگر]]</f>
        <v>0</v>
      </c>
      <c r="CK13" s="116">
        <v>2</v>
      </c>
      <c r="CL13" s="116" t="str">
        <f>TEXT(_xlfn.XLOOKUP(Data15272025121621[[#This Row],[کد ملی]],emp_info[کد ملی],emp_info[کد شغل],"یافت نشد"),"000000")</f>
        <v>000255</v>
      </c>
      <c r="CM13" s="116">
        <f>Data15272025121621[[#This Row],[کد ملی]]</f>
        <v>2360078860</v>
      </c>
      <c r="CN13" s="116">
        <f>Data15272025121621[[#This Row],[پایه سنواتی]]*Data15272025121621[[#This Row],[تعداد سال کارکرد]]</f>
        <v>0</v>
      </c>
      <c r="CO13" s="117">
        <f>Data15272025121621[[#This Row],[حق تاهل]]</f>
        <v>5000000</v>
      </c>
    </row>
    <row r="14" spans="1:93" ht="24.95" customHeight="1">
      <c r="A14" s="135" t="str">
        <f>_xlfn.XLOOKUP(Data15272025121621[[#This Row],[کد ملی]],emp_info[کد ملی],emp_info[گروه])</f>
        <v>شاغل</v>
      </c>
      <c r="B14" s="121">
        <f>ROWS($A$1:A8)</f>
        <v>8</v>
      </c>
      <c r="C14" s="121">
        <f>_xlfn.XLOOKUP(Data15272025121621[[#This Row],[کد ملی]],emp_info[کد ملی],emp_info[maliat])</f>
        <v>1</v>
      </c>
      <c r="D14" s="121">
        <f>_xlfn.XLOOKUP(Data15272025121621[[#This Row],[کد ملی]],emp_info[کد ملی],emp_info[بیمه])</f>
        <v>1</v>
      </c>
      <c r="E14" s="121">
        <f>_xlfn.XLOOKUP(Data15272025121621[[#This Row],[کد ملی]],emp_info[کد ملی],emp_info[bank])</f>
        <v>1</v>
      </c>
      <c r="F14" s="5">
        <v>2111087343</v>
      </c>
      <c r="G14" s="47" t="str">
        <f>_xlfn.XLOOKUP(Data15272025121621[[#This Row],[کد ملی]],emp_info[کد ملی],emp_info[نام])&amp;" "&amp;_xlfn.XLOOKUP(Data15272025121621[[#This Row],[کد ملی]],emp_info[کد ملی],emp_info[نام خانوادگی])</f>
        <v>اميرارسلان بيدگي</v>
      </c>
      <c r="H14" s="47" t="str">
        <f>_xlfn.XLOOKUP(Data15272025121621[[#This Row],[کد ملی]],emp_info[کد ملی],emp_info[وضعیت تاهل],"یافت نشد")</f>
        <v>مجرد</v>
      </c>
      <c r="I14" s="47">
        <f>_xlfn.XLOOKUP(Data15272025121621[[#This Row],[کد ملی]],emp_info[کد ملی],emp_info[تعداد فرزند],"یافت نشد")</f>
        <v>0</v>
      </c>
      <c r="J14" s="47">
        <f>_xlfn.XLOOKUP(Data15272025121621[[#This Row],[کد ملی]],emp_info[کد ملی],emp_info[ساعت کار قرارداد شده],"یافت نشد")</f>
        <v>230</v>
      </c>
      <c r="K14" s="53">
        <f>_xlfn.XLOOKUP(Data15272025121621[[#This Row],[کد ملی]],emp_info[کد ملی],emp_info[حقوق قرارداد شده],"یافت نشد")</f>
        <v>400000000</v>
      </c>
      <c r="L14" s="47">
        <f>_xlfn.XLOOKUP(Data15272025121621[[#This Row],[کد ملی]],emp_info[کد ملی],emp_info[گروه شغلی],"یافت نشد")</f>
        <v>13</v>
      </c>
      <c r="M14" s="48">
        <f>_xlfn.XLOOKUP(Data15272025121621[[#This Row],[کد ملی]],emp_info[کد ملی],emp_info[[مزد روزانه ]],"یافت نشد")</f>
        <v>6044057</v>
      </c>
      <c r="N14" s="47">
        <f>_xlfn.XLOOKUP(Data15272025121621[[#This Row],[کد ملی]],emp_info[کد ملی],emp_info[پایه سنواتی],"یافت نشد")</f>
        <v>169467</v>
      </c>
      <c r="O14" s="47">
        <f>_xlfn.XLOOKUP(Data15272025121621[[#This Row],[کد ملی]],emp_info[کد ملی],emp_info[تعداد سال کارکرد],"یافت نشد")</f>
        <v>0</v>
      </c>
      <c r="P14" s="47">
        <f>_xlfn.XLOOKUP(Data15272025121621[[#This Row],[کد ملی]],emp_info[کد ملی],emp_info[مزد مبنا],"یافت نشد")</f>
        <v>6044057</v>
      </c>
      <c r="Q14" s="47">
        <v>240</v>
      </c>
      <c r="R14" s="47">
        <v>31</v>
      </c>
      <c r="S14" s="47">
        <v>0</v>
      </c>
      <c r="T14" s="47">
        <v>0</v>
      </c>
      <c r="U14" s="49">
        <f>TRUNC(Data15272025121621[[#This Row],[حق ماموریت]]/Data15272025121621[[#This Row],[مزد مبنا]])</f>
        <v>4</v>
      </c>
      <c r="V14" s="47">
        <v>0</v>
      </c>
      <c r="W14" s="53">
        <v>0</v>
      </c>
      <c r="X14" s="53">
        <v>0</v>
      </c>
      <c r="Y14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4" s="53">
        <v>66347555</v>
      </c>
      <c r="AA14" s="49" cm="1">
        <f t="array" ref="AA14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39216934</v>
      </c>
      <c r="AB14" s="49" cm="1">
        <f t="array" ref="AB14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27130621</v>
      </c>
      <c r="AC14" s="53" cm="1">
        <f t="array" ref="AC14">ROUND(5*Data15272025121621[[#This Row],[مزد مبنا]]*(Data15272025121621[[#This Row],[روز بیمه]]/list_info302332152027[تعداد روز ماه]),0)</f>
        <v>30220285</v>
      </c>
      <c r="AD14" s="53">
        <f>ROUND(2.5*(Data15272025121621[[#This Row],[پایه سنواتی]]+Data15272025121621[[#This Row],[مزد روزانه ]])*0,0)</f>
        <v>0</v>
      </c>
      <c r="AE14" s="48" cm="1">
        <f t="array" ref="AE14">ROUND(22000000*Data15272025121621[[#This Row],[روز بیمه]]/list_info302332152027[تعداد روز ماه],0)</f>
        <v>22000000</v>
      </c>
      <c r="AF14" s="48" cm="1">
        <f t="array" ref="AF14">ROUND(list_info302332152027[حق مسکن]*Data15272025121621[[#This Row],[روز بیمه]]/list_info302332152027[تعداد روز ماه],0)</f>
        <v>30000000</v>
      </c>
      <c r="AG14" s="47" cm="1">
        <f t="array" ref="AG14">ROUND(IF(Data15272025121621[[#This Row],[وضعیت تاهل]]="متاهل",list_info302332152027[حق تاهل],0)*Data15272025121621[[#This Row],[روز بیمه]]/list_info302332152027[تعداد روز ماه],0)</f>
        <v>0</v>
      </c>
      <c r="AH14" s="47" cm="1">
        <f t="array" ref="AH14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4" s="57" cm="1">
        <f t="array" ref="AI14">list_info302332152027[[درصد فوق العاده جذب تخصصی ماهیانه ]]*Data15272025121621[[#This Row],[مزد روزانه ]]*Data15272025121621[[#This Row],[روز بیمه]]</f>
        <v>0</v>
      </c>
      <c r="AJ14" s="57" cm="1">
        <f t="array" ref="AJ14">list_info302332152027[درصد فوق العاده بدی آب و هوا]*Data15272025121621[[#This Row],[مزد روزانه ]]*Data15272025121621[[#This Row],[روز بیمه]]</f>
        <v>0</v>
      </c>
      <c r="AK14" s="57" cm="1">
        <f t="array" ref="AK14">list_info302332152027[[فوق العاده جذب تخصصی دوری از خانواده ]]*Data15272025121621[[#This Row],[مزد روزانه ]]*Data15272025121621[[#This Row],[روز بیمه]]</f>
        <v>0</v>
      </c>
      <c r="AL14" s="57" cm="1">
        <f t="array" ref="AL14">list_info302332152027[فوق العاده پارس جنوبی]*Data15272025121621[[#This Row],[مزد روزانه ]]*Data15272025121621[[#This Row],[روز بیمه]]</f>
        <v>0</v>
      </c>
      <c r="AM14" s="53" cm="1">
        <f t="array" ref="AM14">ROUND((Data15272025121621[[#This Row],[روز بیمه]]/list_info302332152027[تعداد روز ماه])*Data15272025121621[[#This Row],[تعداد فرزند]]*list_info302332152027[حق اولاد],0)</f>
        <v>0</v>
      </c>
      <c r="AN14" s="53" cm="1">
        <f t="array" ref="AN14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15110142.5</v>
      </c>
      <c r="AO14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118347555</v>
      </c>
      <c r="AP14" s="48">
        <f>ROUND(Data15272025121621[[#This Row],[سایر مزایا]]+Data15272025121621[[#This Row],[اضافه کار]]+Data15272025121621[[#This Row],[جمعه کاری]],0)</f>
        <v>66347555</v>
      </c>
      <c r="AQ14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14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111677982.5</v>
      </c>
      <c r="AS14" s="47">
        <f>Data15272025121621[[#This Row],[روز بیمه]]*Data15272025121621[[#This Row],[پایه سنواتی]]*Data15272025121621[[#This Row],[تعداد سال کارکرد]]</f>
        <v>0</v>
      </c>
      <c r="AT14" s="53">
        <f>ROUND(Data15272025121621[[#This Row],[جمع حقوق و مزایا مشمول بیمه]]*0.07,0)</f>
        <v>21399933</v>
      </c>
      <c r="AU14" s="53">
        <f>ROUND(Data15272025121621[[#This Row],[جمع حقوق و مزایا مشمول بیمه]]*0.2,0)</f>
        <v>61142664</v>
      </c>
      <c r="AV14" s="53">
        <f>ROUND(Data15272025121621[[#This Row],[جمع حقوق و مزایا مشمول بیمه]]*0.03,0)</f>
        <v>9171400</v>
      </c>
      <c r="AW14" s="53">
        <f>Data15272025121621[[#This Row],[بیمه بیکاری]]+Data15272025121621[[#This Row],[بیمه سهم کارفرما]]+Data15272025121621[[#This Row],[بیمه سهم کارگر]]</f>
        <v>91713997</v>
      </c>
      <c r="AX14" s="48">
        <f>Data15272025121621[[#This Row],[روز بیمه]]*Data15272025121621[[#This Row],[مزد مبنا]]</f>
        <v>187365767</v>
      </c>
      <c r="AY14" s="48">
        <f>Data15272025121621[[#This Row],[حقوق پایه]]+Data15272025121621[[#This Row],[مزایا مستمر مشمول مالیات]]</f>
        <v>239365767</v>
      </c>
      <c r="AZ14" s="49">
        <f>(Data15272025121621[[#This Row],[حقوق پایه]]+Data15272025121621[[#This Row],[ مزایا مشمول]])*Data15272025121621[[#This Row],[بیمه]]</f>
        <v>305713322</v>
      </c>
      <c r="BA14" s="54">
        <f>ROUND(((Data15272025121621[[#This Row],[ساعت کارکرد]]/Data15272025121621[[#This Row],[کارکرد قرارداد شده]])*Data15272025121621[[#This Row],[حقوق قرارداد شده]]),0)</f>
        <v>417391304</v>
      </c>
      <c r="BB14" s="54">
        <f>Data15272025121621[[#This Row],[بیمه سهم کارگر]]</f>
        <v>21399933</v>
      </c>
      <c r="BC14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395991371</v>
      </c>
      <c r="BD14" s="125" t="str">
        <f>_xlfn.XLOOKUP(Data15272025121621[[#This Row],[کد ملی]],emp_info[کد ملی],emp_info[شماره حساب])</f>
        <v>0373040299006</v>
      </c>
      <c r="BE14" s="50">
        <f>TRUNC(Data15272025121621[[#This Row],[حقوق خالص]]-Data15272025121621[[#This Row],[کسر مساعده]])</f>
        <v>395991371</v>
      </c>
      <c r="BF14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0.5</v>
      </c>
      <c r="BH14" s="2">
        <v>78433868</v>
      </c>
      <c r="BI14" s="2">
        <v>54261242</v>
      </c>
      <c r="BJ14" s="20">
        <f t="shared" si="0"/>
        <v>66347555</v>
      </c>
      <c r="BL14" s="2">
        <f>Data15272025121621[[#This Row],[بیمه]]</f>
        <v>1</v>
      </c>
      <c r="BM14" s="114" t="str" cm="1">
        <f t="array" ref="BM14">DSKKAR1817292231141823[DSK_ID]</f>
        <v>4894290013</v>
      </c>
      <c r="BN14" s="115" t="str" cm="1">
        <f t="array" ref="BN14">DSKKAR1817292231141823[DSK_YY]</f>
        <v>05</v>
      </c>
      <c r="BO14" s="115" t="str" cm="1">
        <f t="array" ref="BO14">DSKKAR1817292231141823[DSK_MM]</f>
        <v>04</v>
      </c>
      <c r="BP14" s="116" t="str" cm="1">
        <f t="array" ref="BP14">DSKKAR1817292231141823[DSK_LISTNO]</f>
        <v>01</v>
      </c>
      <c r="BQ14" s="117">
        <f>_xlfn.XLOOKUP(Data15272025121621[[#This Row],[کد ملی]],emp_info[کد ملی],emp_info[شماره بیمه],"یافت نشد")</f>
        <v>34389459</v>
      </c>
      <c r="BR14" s="116" t="str">
        <f>_xlfn.XLOOKUP(Data15272025121621[[#This Row],[کد ملی]],emp_info[کد ملی],emp_info[نام],"یافت نشد")</f>
        <v>اميرارسلان</v>
      </c>
      <c r="BS14" s="116" t="str">
        <f>_xlfn.XLOOKUP(Data15272025121621[[#This Row],[کد ملی]],emp_info[کد ملی],emp_info[نام خانوادگی],"یافت نشد")</f>
        <v>بيدگي</v>
      </c>
      <c r="BT14" s="116" t="str">
        <f>_xlfn.XLOOKUP(Data15272025121621[[#This Row],[کد ملی]],emp_info[کد ملی],emp_info[نام  پدر],"یافت نشد")</f>
        <v>امید</v>
      </c>
      <c r="BU14" s="116">
        <f>_xlfn.XLOOKUP(Data15272025121621[[#This Row],[کد ملی]],emp_info[کد ملی],emp_info[شماره شناسنامه],"یافت نشد")</f>
        <v>2111087343</v>
      </c>
      <c r="BV14" s="116" t="str">
        <f>_xlfn.XLOOKUP(Data15272025121621[[#This Row],[کد ملی]],emp_info[کد ملی],emp_info[محل صدور],"یافت نشد")</f>
        <v>گرگان</v>
      </c>
      <c r="BW14" s="116">
        <f>_xlfn.XLOOKUP(Data15272025121621[[#This Row],[کد ملی]],emp_info[کد ملی],emp_info[تاریخ صدور],"یافت نشد")</f>
        <v>0</v>
      </c>
      <c r="BX14" s="116">
        <f>_xlfn.XLOOKUP(Data15272025121621[[#This Row],[کد ملی]],emp_info[کد ملی],emp_info[تاریخ تولد],"یافت نشد")</f>
        <v>13830309</v>
      </c>
      <c r="BY14" s="116" t="str">
        <f>_xlfn.XLOOKUP(Data15272025121621[[#This Row],[کد ملی]],emp_info[کد ملی],emp_info[جنسیت],"یافت نشد")</f>
        <v>مرد</v>
      </c>
      <c r="BZ14" s="116" t="s">
        <v>122</v>
      </c>
      <c r="CA14" s="116" t="str">
        <f>_xlfn.XLOOKUP(Data15272025121621[[#This Row],[کد ملی]],emp_info[کد ملی],emp_info[سمت شغل],"یافت نشد")</f>
        <v>افسر ايمني</v>
      </c>
      <c r="CB14" s="116">
        <f>_xlfn.XLOOKUP(Data15272025121621[[#This Row],[کد ملی]],emp_info[کد ملی],emp_info[تاریخ شروع به کار],"یافت نشد")</f>
        <v>14040901</v>
      </c>
      <c r="CC14" s="118">
        <f>_xlfn.XLOOKUP(Data15272025121621[[#This Row],[کد ملی]],emp_info[کد ملی],emp_info[ [ تاریخ پایان کار] ],"یافت نشد")</f>
        <v>0</v>
      </c>
      <c r="CD14" s="118">
        <f>Data15272025121621[[#This Row],[روز بیمه]]</f>
        <v>31</v>
      </c>
      <c r="CE14" s="118">
        <f>Data15272025121621[[#This Row],[مزد روزانه ]]</f>
        <v>6044057</v>
      </c>
      <c r="CF14" s="118">
        <f>Data15272025121621[[#This Row],[حقوق پایه]]</f>
        <v>187365767</v>
      </c>
      <c r="CG14" s="118">
        <f>Data15272025121621[[#This Row],[ مزایا مشمول]]</f>
        <v>118347555</v>
      </c>
      <c r="CH14" s="118">
        <f>Data15272025121621[[#This Row],[جمع حقوق و مزایا مشمول بیمه]]</f>
        <v>305713322</v>
      </c>
      <c r="CI14" s="117">
        <f>Data15272025121621[[#This Row],[حقوق ناخالص]]</f>
        <v>417391304</v>
      </c>
      <c r="CJ14" s="117">
        <f>Data15272025121621[[#This Row],[بیمه سهم کارگر]]</f>
        <v>21399933</v>
      </c>
      <c r="CK14" s="116">
        <v>3</v>
      </c>
      <c r="CL14" s="116" t="str">
        <f>TEXT(_xlfn.XLOOKUP(Data15272025121621[[#This Row],[کد ملی]],emp_info[کد ملی],emp_info[کد شغل],"یافت نشد"),"000000")</f>
        <v>052080</v>
      </c>
      <c r="CM14" s="116">
        <f>Data15272025121621[[#This Row],[کد ملی]]</f>
        <v>2111087343</v>
      </c>
      <c r="CN14" s="116">
        <f>Data15272025121621[[#This Row],[پایه سنواتی]]*Data15272025121621[[#This Row],[تعداد سال کارکرد]]</f>
        <v>0</v>
      </c>
      <c r="CO14" s="117">
        <f>Data15272025121621[[#This Row],[حق تاهل]]</f>
        <v>0</v>
      </c>
    </row>
    <row r="15" spans="1:93" ht="24.95" customHeight="1">
      <c r="A15" s="140" t="str">
        <f>_xlfn.XLOOKUP(Data15272025121621[[#This Row],[کد ملی]],emp_info[کد ملی],emp_info[گروه])</f>
        <v>شاغل</v>
      </c>
      <c r="B15" s="121">
        <f>ROWS($A$1:A9)</f>
        <v>9</v>
      </c>
      <c r="C15" s="121">
        <f>_xlfn.XLOOKUP(Data15272025121621[[#This Row],[کد ملی]],emp_info[کد ملی],emp_info[maliat])</f>
        <v>1</v>
      </c>
      <c r="D15" s="121">
        <f>_xlfn.XLOOKUP(Data15272025121621[[#This Row],[کد ملی]],emp_info[کد ملی],emp_info[بیمه])</f>
        <v>1</v>
      </c>
      <c r="E15" s="121">
        <f>_xlfn.XLOOKUP(Data15272025121621[[#This Row],[کد ملی]],emp_info[کد ملی],emp_info[bank])</f>
        <v>1</v>
      </c>
      <c r="F15" s="5">
        <v>2298563780</v>
      </c>
      <c r="G15" s="47" t="str">
        <f>_xlfn.XLOOKUP(Data15272025121621[[#This Row],[کد ملی]],emp_info[کد ملی],emp_info[نام])&amp;" "&amp;_xlfn.XLOOKUP(Data15272025121621[[#This Row],[کد ملی]],emp_info[کد ملی],emp_info[نام خانوادگی])</f>
        <v>محمد فيلي</v>
      </c>
      <c r="H15" s="47" t="str">
        <f>_xlfn.XLOOKUP(Data15272025121621[[#This Row],[کد ملی]],emp_info[کد ملی],emp_info[وضعیت تاهل],"یافت نشد")</f>
        <v>مجرد</v>
      </c>
      <c r="I15" s="47">
        <f>_xlfn.XLOOKUP(Data15272025121621[[#This Row],[کد ملی]],emp_info[کد ملی],emp_info[تعداد فرزند],"یافت نشد")</f>
        <v>1</v>
      </c>
      <c r="J15" s="47">
        <f>_xlfn.XLOOKUP(Data15272025121621[[#This Row],[کد ملی]],emp_info[کد ملی],emp_info[ساعت کار قرارداد شده],"یافت نشد")</f>
        <v>230</v>
      </c>
      <c r="K15" s="53">
        <f>_xlfn.XLOOKUP(Data15272025121621[[#This Row],[کد ملی]],emp_info[کد ملی],emp_info[حقوق قرارداد شده],"یافت نشد")</f>
        <v>440000000</v>
      </c>
      <c r="L15" s="47">
        <f>_xlfn.XLOOKUP(Data15272025121621[[#This Row],[کد ملی]],emp_info[کد ملی],emp_info[گروه شغلی],"یافت نشد")</f>
        <v>13</v>
      </c>
      <c r="M15" s="48">
        <f>_xlfn.XLOOKUP(Data15272025121621[[#This Row],[کد ملی]],emp_info[کد ملی],emp_info[[مزد روزانه ]],"یافت نشد")</f>
        <v>6044057</v>
      </c>
      <c r="N15" s="47">
        <f>_xlfn.XLOOKUP(Data15272025121621[[#This Row],[کد ملی]],emp_info[کد ملی],emp_info[پایه سنواتی],"یافت نشد")</f>
        <v>169467</v>
      </c>
      <c r="O15" s="47">
        <f>_xlfn.XLOOKUP(Data15272025121621[[#This Row],[کد ملی]],emp_info[کد ملی],emp_info[تعداد سال کارکرد],"یافت نشد")</f>
        <v>0</v>
      </c>
      <c r="P15" s="47">
        <f>_xlfn.XLOOKUP(Data15272025121621[[#This Row],[کد ملی]],emp_info[کد ملی],emp_info[مزد مبنا],"یافت نشد")</f>
        <v>6044057</v>
      </c>
      <c r="Q15" s="47">
        <v>227</v>
      </c>
      <c r="R15" s="47">
        <v>31</v>
      </c>
      <c r="S15" s="47">
        <v>0</v>
      </c>
      <c r="T15" s="47">
        <v>0</v>
      </c>
      <c r="U15" s="49">
        <f>TRUNC(Data15272025121621[[#This Row],[حق ماموریت]]/Data15272025121621[[#This Row],[مزد مبنا]])</f>
        <v>4</v>
      </c>
      <c r="V15" s="47">
        <v>0</v>
      </c>
      <c r="W15" s="53">
        <v>0</v>
      </c>
      <c r="X15" s="53">
        <v>0</v>
      </c>
      <c r="Y15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5" s="53">
        <v>66469563.5</v>
      </c>
      <c r="AA15" s="49" cm="1">
        <f t="array" ref="AA15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39289051</v>
      </c>
      <c r="AB15" s="49" cm="1">
        <f t="array" ref="AB15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27180512</v>
      </c>
      <c r="AC15" s="53" cm="1">
        <f t="array" ref="AC15">ROUND(5*Data15272025121621[[#This Row],[مزد مبنا]]*(Data15272025121621[[#This Row],[روز بیمه]]/list_info302332152027[تعداد روز ماه]),0)</f>
        <v>30220285</v>
      </c>
      <c r="AD15" s="53">
        <f>ROUND(2.5*(Data15272025121621[[#This Row],[پایه سنواتی]]+Data15272025121621[[#This Row],[مزد روزانه ]])*0,0)</f>
        <v>0</v>
      </c>
      <c r="AE15" s="48" cm="1">
        <f t="array" ref="AE15">ROUND(22000000*Data15272025121621[[#This Row],[روز بیمه]]/list_info302332152027[تعداد روز ماه],0)</f>
        <v>22000000</v>
      </c>
      <c r="AF15" s="48" cm="1">
        <f t="array" ref="AF15">ROUND(list_info302332152027[حق مسکن]*Data15272025121621[[#This Row],[روز بیمه]]/list_info302332152027[تعداد روز ماه],0)</f>
        <v>30000000</v>
      </c>
      <c r="AG15" s="47" cm="1">
        <f t="array" ref="AG15">ROUND(IF(Data15272025121621[[#This Row],[وضعیت تاهل]]="متاهل",list_info302332152027[حق تاهل],0)*Data15272025121621[[#This Row],[روز بیمه]]/list_info302332152027[تعداد روز ماه],0)</f>
        <v>0</v>
      </c>
      <c r="AH15" s="47" cm="1">
        <f t="array" ref="AH15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5" s="57" cm="1">
        <f t="array" ref="AI15">list_info302332152027[[درصد فوق العاده جذب تخصصی ماهیانه ]]*Data15272025121621[[#This Row],[مزد روزانه ]]*Data15272025121621[[#This Row],[روز بیمه]]</f>
        <v>0</v>
      </c>
      <c r="AJ15" s="57" cm="1">
        <f t="array" ref="AJ15">list_info302332152027[درصد فوق العاده بدی آب و هوا]*Data15272025121621[[#This Row],[مزد روزانه ]]*Data15272025121621[[#This Row],[روز بیمه]]</f>
        <v>0</v>
      </c>
      <c r="AK15" s="57" cm="1">
        <f t="array" ref="AK15">list_info302332152027[[فوق العاده جذب تخصصی دوری از خانواده ]]*Data15272025121621[[#This Row],[مزد روزانه ]]*Data15272025121621[[#This Row],[روز بیمه]]</f>
        <v>0</v>
      </c>
      <c r="AL15" s="57" cm="1">
        <f t="array" ref="AL15">list_info302332152027[فوق العاده پارس جنوبی]*Data15272025121621[[#This Row],[مزد روزانه ]]*Data15272025121621[[#This Row],[روز بیمه]]</f>
        <v>0</v>
      </c>
      <c r="AM15" s="53" cm="1">
        <f t="array" ref="AM15">ROUND((Data15272025121621[[#This Row],[روز بیمه]]/list_info302332152027[تعداد روز ماه])*Data15272025121621[[#This Row],[تعداد فرزند]]*list_info302332152027[حق اولاد],0)</f>
        <v>16625549</v>
      </c>
      <c r="AN15" s="53" cm="1">
        <f t="array" ref="AN15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15110142.5</v>
      </c>
      <c r="AO15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118469564</v>
      </c>
      <c r="AP15" s="48">
        <f>ROUND(Data15272025121621[[#This Row],[سایر مزایا]]+Data15272025121621[[#This Row],[اضافه کار]]+Data15272025121621[[#This Row],[جمعه کاری]],0)</f>
        <v>66469564</v>
      </c>
      <c r="AQ15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68625549</v>
      </c>
      <c r="AR15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128425539.5</v>
      </c>
      <c r="AS15" s="47">
        <f>Data15272025121621[[#This Row],[روز بیمه]]*Data15272025121621[[#This Row],[پایه سنواتی]]*Data15272025121621[[#This Row],[تعداد سال کارکرد]]</f>
        <v>0</v>
      </c>
      <c r="AT15" s="53">
        <f>ROUND(Data15272025121621[[#This Row],[جمع حقوق و مزایا مشمول بیمه]]*0.07,0)</f>
        <v>21408473</v>
      </c>
      <c r="AU15" s="53">
        <f>ROUND(Data15272025121621[[#This Row],[جمع حقوق و مزایا مشمول بیمه]]*0.2,0)</f>
        <v>61167066</v>
      </c>
      <c r="AV15" s="53">
        <f>ROUND(Data15272025121621[[#This Row],[جمع حقوق و مزایا مشمول بیمه]]*0.03,0)</f>
        <v>9175060</v>
      </c>
      <c r="AW15" s="53">
        <f>Data15272025121621[[#This Row],[بیمه بیکاری]]+Data15272025121621[[#This Row],[بیمه سهم کارفرما]]+Data15272025121621[[#This Row],[بیمه سهم کارگر]]</f>
        <v>91750599</v>
      </c>
      <c r="AX15" s="48">
        <f>Data15272025121621[[#This Row],[روز بیمه]]*Data15272025121621[[#This Row],[مزد مبنا]]</f>
        <v>187365767</v>
      </c>
      <c r="AY15" s="48">
        <f>Data15272025121621[[#This Row],[حقوق پایه]]+Data15272025121621[[#This Row],[مزایا مستمر مشمول مالیات]]</f>
        <v>255991316</v>
      </c>
      <c r="AZ15" s="49">
        <f>(Data15272025121621[[#This Row],[حقوق پایه]]+Data15272025121621[[#This Row],[ مزایا مشمول]])*Data15272025121621[[#This Row],[بیمه]]</f>
        <v>305835331</v>
      </c>
      <c r="BA15" s="54">
        <f>ROUND(((Data15272025121621[[#This Row],[ساعت کارکرد]]/Data15272025121621[[#This Row],[کارکرد قرارداد شده]])*Data15272025121621[[#This Row],[حقوق قرارداد شده]]),0)</f>
        <v>434260870</v>
      </c>
      <c r="BB15" s="54">
        <f>Data15272025121621[[#This Row],[بیمه سهم کارگر]]</f>
        <v>21408473</v>
      </c>
      <c r="BC15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412852396</v>
      </c>
      <c r="BD15" s="125" t="str">
        <f>_xlfn.XLOOKUP(Data15272025121621[[#This Row],[کد ملی]],emp_info[کد ملی],emp_info[شماره حساب])</f>
        <v>0305302920002</v>
      </c>
      <c r="BE15" s="50">
        <f>TRUNC(Data15272025121621[[#This Row],[حقوق خالص]]-Data15272025121621[[#This Row],[کسر مساعده]])</f>
        <v>412852396</v>
      </c>
      <c r="BF15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15" s="2">
        <v>78578102</v>
      </c>
      <c r="BI15" s="2">
        <v>54361025</v>
      </c>
      <c r="BJ15" s="20">
        <f t="shared" si="0"/>
        <v>66469563.5</v>
      </c>
      <c r="BL15" s="2">
        <f>Data15272025121621[[#This Row],[بیمه]]</f>
        <v>1</v>
      </c>
      <c r="BM15" s="114" t="str" cm="1">
        <f t="array" ref="BM15">DSKKAR1817292231141823[DSK_ID]</f>
        <v>4894290013</v>
      </c>
      <c r="BN15" s="115" t="str" cm="1">
        <f t="array" ref="BN15">DSKKAR1817292231141823[DSK_YY]</f>
        <v>05</v>
      </c>
      <c r="BO15" s="115" t="str" cm="1">
        <f t="array" ref="BO15">DSKKAR1817292231141823[DSK_MM]</f>
        <v>04</v>
      </c>
      <c r="BP15" s="116" t="str" cm="1">
        <f t="array" ref="BP15">DSKKAR1817292231141823[DSK_LISTNO]</f>
        <v>01</v>
      </c>
      <c r="BQ15" s="117">
        <f>_xlfn.XLOOKUP(Data15272025121621[[#This Row],[کد ملی]],emp_info[کد ملی],emp_info[شماره بیمه],"یافت نشد")</f>
        <v>64239522</v>
      </c>
      <c r="BR15" s="116" t="str">
        <f>_xlfn.XLOOKUP(Data15272025121621[[#This Row],[کد ملی]],emp_info[کد ملی],emp_info[نام],"یافت نشد")</f>
        <v>محمد</v>
      </c>
      <c r="BS15" s="116" t="str">
        <f>_xlfn.XLOOKUP(Data15272025121621[[#This Row],[کد ملی]],emp_info[کد ملی],emp_info[نام خانوادگی],"یافت نشد")</f>
        <v>فيلي</v>
      </c>
      <c r="BT15" s="116" t="str">
        <f>_xlfn.XLOOKUP(Data15272025121621[[#This Row],[کد ملی]],emp_info[کد ملی],emp_info[نام  پدر],"یافت نشد")</f>
        <v>عبدالرسول</v>
      </c>
      <c r="BU15" s="116">
        <f>_xlfn.XLOOKUP(Data15272025121621[[#This Row],[کد ملی]],emp_info[کد ملی],emp_info[شماره شناسنامه],"یافت نشد")</f>
        <v>1153</v>
      </c>
      <c r="BV15" s="116" t="str">
        <f>_xlfn.XLOOKUP(Data15272025121621[[#This Row],[کد ملی]],emp_info[کد ملی],emp_info[محل صدور],"یافت نشد")</f>
        <v>شیراز</v>
      </c>
      <c r="BW15" s="116">
        <f>_xlfn.XLOOKUP(Data15272025121621[[#This Row],[کد ملی]],emp_info[کد ملی],emp_info[تاریخ صدور],"یافت نشد")</f>
        <v>0</v>
      </c>
      <c r="BX15" s="116">
        <f>_xlfn.XLOOKUP(Data15272025121621[[#This Row],[کد ملی]],emp_info[کد ملی],emp_info[تاریخ تولد],"یافت نشد")</f>
        <v>13591214</v>
      </c>
      <c r="BY15" s="116" t="str">
        <f>_xlfn.XLOOKUP(Data15272025121621[[#This Row],[کد ملی]],emp_info[کد ملی],emp_info[جنسیت],"یافت نشد")</f>
        <v>مرد</v>
      </c>
      <c r="BZ15" s="116" t="s">
        <v>122</v>
      </c>
      <c r="CA15" s="116" t="str">
        <f>_xlfn.XLOOKUP(Data15272025121621[[#This Row],[کد ملی]],emp_info[کد ملی],emp_info[سمت شغل],"یافت نشد")</f>
        <v>امورپشتيباني</v>
      </c>
      <c r="CB15" s="116">
        <f>_xlfn.XLOOKUP(Data15272025121621[[#This Row],[کد ملی]],emp_info[کد ملی],emp_info[تاریخ شروع به کار],"یافت نشد")</f>
        <v>14040901</v>
      </c>
      <c r="CC15" s="118">
        <f>_xlfn.XLOOKUP(Data15272025121621[[#This Row],[کد ملی]],emp_info[کد ملی],emp_info[ [ تاریخ پایان کار] ],"یافت نشد")</f>
        <v>0</v>
      </c>
      <c r="CD15" s="118">
        <f>Data15272025121621[[#This Row],[روز بیمه]]</f>
        <v>31</v>
      </c>
      <c r="CE15" s="118">
        <f>Data15272025121621[[#This Row],[مزد روزانه ]]</f>
        <v>6044057</v>
      </c>
      <c r="CF15" s="118">
        <f>Data15272025121621[[#This Row],[حقوق پایه]]</f>
        <v>187365767</v>
      </c>
      <c r="CG15" s="118">
        <f>Data15272025121621[[#This Row],[ مزایا مشمول]]</f>
        <v>118469564</v>
      </c>
      <c r="CH15" s="118">
        <f>Data15272025121621[[#This Row],[جمع حقوق و مزایا مشمول بیمه]]</f>
        <v>305835331</v>
      </c>
      <c r="CI15" s="117">
        <f>Data15272025121621[[#This Row],[حقوق ناخالص]]</f>
        <v>434260870</v>
      </c>
      <c r="CJ15" s="117">
        <f>Data15272025121621[[#This Row],[بیمه سهم کارگر]]</f>
        <v>21408473</v>
      </c>
      <c r="CK15" s="116">
        <v>4</v>
      </c>
      <c r="CL15" s="116" t="str">
        <f>TEXT(_xlfn.XLOOKUP(Data15272025121621[[#This Row],[کد ملی]],emp_info[کد ملی],emp_info[کد شغل],"یافت نشد"),"000000")</f>
        <v>000222</v>
      </c>
      <c r="CM15" s="116">
        <f>Data15272025121621[[#This Row],[کد ملی]]</f>
        <v>2298563780</v>
      </c>
      <c r="CN15" s="116">
        <f>Data15272025121621[[#This Row],[پایه سنواتی]]*Data15272025121621[[#This Row],[تعداد سال کارکرد]]</f>
        <v>0</v>
      </c>
      <c r="CO15" s="117">
        <f>Data15272025121621[[#This Row],[حق تاهل]]</f>
        <v>0</v>
      </c>
    </row>
    <row r="16" spans="1:93" ht="24.95" customHeight="1">
      <c r="A16" s="140" t="str">
        <f>_xlfn.XLOOKUP(Data15272025121621[[#This Row],[کد ملی]],emp_info[کد ملی],emp_info[گروه])</f>
        <v>شاغل</v>
      </c>
      <c r="B16" s="121">
        <f>ROWS($A$1:A10)</f>
        <v>10</v>
      </c>
      <c r="C16" s="121">
        <f>_xlfn.XLOOKUP(Data15272025121621[[#This Row],[کد ملی]],emp_info[کد ملی],emp_info[maliat])</f>
        <v>1</v>
      </c>
      <c r="D16" s="121">
        <f>_xlfn.XLOOKUP(Data15272025121621[[#This Row],[کد ملی]],emp_info[کد ملی],emp_info[بیمه])</f>
        <v>1</v>
      </c>
      <c r="E16" s="121">
        <f>_xlfn.XLOOKUP(Data15272025121621[[#This Row],[کد ملی]],emp_info[کد ملی],emp_info[bank])</f>
        <v>1</v>
      </c>
      <c r="F16" s="5">
        <v>4251252772</v>
      </c>
      <c r="G16" s="47" t="str">
        <f>_xlfn.XLOOKUP(Data15272025121621[[#This Row],[کد ملی]],emp_info[کد ملی],emp_info[نام])&amp;" "&amp;_xlfn.XLOOKUP(Data15272025121621[[#This Row],[کد ملی]],emp_info[کد ملی],emp_info[نام خانوادگی])</f>
        <v>سامان تقوي سوق</v>
      </c>
      <c r="H16" s="47" t="str">
        <f>_xlfn.XLOOKUP(Data15272025121621[[#This Row],[کد ملی]],emp_info[کد ملی],emp_info[وضعیت تاهل],"یافت نشد")</f>
        <v>متاهل</v>
      </c>
      <c r="I16" s="47">
        <f>_xlfn.XLOOKUP(Data15272025121621[[#This Row],[کد ملی]],emp_info[کد ملی],emp_info[تعداد فرزند],"یافت نشد")</f>
        <v>1</v>
      </c>
      <c r="J16" s="47">
        <f>_xlfn.XLOOKUP(Data15272025121621[[#This Row],[کد ملی]],emp_info[کد ملی],emp_info[ساعت کار قرارداد شده],"یافت نشد")</f>
        <v>230</v>
      </c>
      <c r="K16" s="53">
        <f>_xlfn.XLOOKUP(Data15272025121621[[#This Row],[کد ملی]],emp_info[کد ملی],emp_info[حقوق قرارداد شده],"یافت نشد")</f>
        <v>700000000</v>
      </c>
      <c r="L16" s="47">
        <f>_xlfn.XLOOKUP(Data15272025121621[[#This Row],[کد ملی]],emp_info[کد ملی],emp_info[گروه شغلی],"یافت نشد")</f>
        <v>13</v>
      </c>
      <c r="M16" s="48">
        <f>_xlfn.XLOOKUP(Data15272025121621[[#This Row],[کد ملی]],emp_info[کد ملی],emp_info[[مزد روزانه ]],"یافت نشد")</f>
        <v>6044057</v>
      </c>
      <c r="N16" s="47">
        <f>_xlfn.XLOOKUP(Data15272025121621[[#This Row],[کد ملی]],emp_info[کد ملی],emp_info[پایه سنواتی],"یافت نشد")</f>
        <v>169467</v>
      </c>
      <c r="O16" s="47">
        <f>_xlfn.XLOOKUP(Data15272025121621[[#This Row],[کد ملی]],emp_info[کد ملی],emp_info[تعداد سال کارکرد],"یافت نشد")</f>
        <v>0</v>
      </c>
      <c r="P16" s="47">
        <f>_xlfn.XLOOKUP(Data15272025121621[[#This Row],[کد ملی]],emp_info[کد ملی],emp_info[مزد مبنا],"یافت نشد")</f>
        <v>6044057</v>
      </c>
      <c r="Q16" s="47">
        <v>221</v>
      </c>
      <c r="R16" s="47">
        <v>31</v>
      </c>
      <c r="S16" s="47">
        <v>0</v>
      </c>
      <c r="T16" s="47">
        <v>0</v>
      </c>
      <c r="U16" s="49">
        <f>TRUNC(Data15272025121621[[#This Row],[حق ماموریت]]/Data15272025121621[[#This Row],[مزد مبنا]])</f>
        <v>12</v>
      </c>
      <c r="V16" s="47">
        <v>0</v>
      </c>
      <c r="W16" s="53">
        <v>0</v>
      </c>
      <c r="X16" s="53">
        <v>0</v>
      </c>
      <c r="Y16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6" s="53">
        <v>183143476.5</v>
      </c>
      <c r="AA16" s="49" cm="1">
        <f t="array" ref="AA16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108253056</v>
      </c>
      <c r="AB16" s="49" cm="1">
        <f t="array" ref="AB16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74890420</v>
      </c>
      <c r="AC16" s="53" cm="1">
        <f t="array" ref="AC16">ROUND(5*Data15272025121621[[#This Row],[مزد مبنا]]*(Data15272025121621[[#This Row],[روز بیمه]]/list_info302332152027[تعداد روز ماه]),0)</f>
        <v>30220285</v>
      </c>
      <c r="AD16" s="53">
        <f>ROUND(2.5*(Data15272025121621[[#This Row],[پایه سنواتی]]+Data15272025121621[[#This Row],[مزد روزانه ]])*0,0)</f>
        <v>0</v>
      </c>
      <c r="AE16" s="48" cm="1">
        <f t="array" ref="AE16">ROUND(22000000*Data15272025121621[[#This Row],[روز بیمه]]/list_info302332152027[تعداد روز ماه],0)</f>
        <v>22000000</v>
      </c>
      <c r="AF16" s="48" cm="1">
        <f t="array" ref="AF16">ROUND(list_info302332152027[حق مسکن]*Data15272025121621[[#This Row],[روز بیمه]]/list_info302332152027[تعداد روز ماه],0)</f>
        <v>30000000</v>
      </c>
      <c r="AG16" s="47" cm="1">
        <f t="array" ref="AG16">ROUND(IF(Data15272025121621[[#This Row],[وضعیت تاهل]]="متاهل",list_info302332152027[حق تاهل],0)*Data15272025121621[[#This Row],[روز بیمه]]/list_info302332152027[تعداد روز ماه],0)</f>
        <v>5000000</v>
      </c>
      <c r="AH16" s="47" cm="1">
        <f t="array" ref="AH16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6" s="57" cm="1">
        <f t="array" ref="AI16">list_info302332152027[[درصد فوق العاده جذب تخصصی ماهیانه ]]*Data15272025121621[[#This Row],[مزد روزانه ]]*Data15272025121621[[#This Row],[روز بیمه]]</f>
        <v>0</v>
      </c>
      <c r="AJ16" s="57" cm="1">
        <f t="array" ref="AJ16">list_info302332152027[درصد فوق العاده بدی آب و هوا]*Data15272025121621[[#This Row],[مزد روزانه ]]*Data15272025121621[[#This Row],[روز بیمه]]</f>
        <v>0</v>
      </c>
      <c r="AK16" s="57" cm="1">
        <f t="array" ref="AK16">list_info302332152027[[فوق العاده جذب تخصصی دوری از خانواده ]]*Data15272025121621[[#This Row],[مزد روزانه ]]*Data15272025121621[[#This Row],[روز بیمه]]</f>
        <v>0</v>
      </c>
      <c r="AL16" s="57" cm="1">
        <f t="array" ref="AL16">list_info302332152027[فوق العاده پارس جنوبی]*Data15272025121621[[#This Row],[مزد روزانه ]]*Data15272025121621[[#This Row],[روز بیمه]]</f>
        <v>0</v>
      </c>
      <c r="AM16" s="53" cm="1">
        <f t="array" ref="AM16">ROUND((Data15272025121621[[#This Row],[روز بیمه]]/list_info302332152027[تعداد روز ماه])*Data15272025121621[[#This Row],[تعداد فرزند]]*list_info302332152027[حق اولاد],0)</f>
        <v>16625549</v>
      </c>
      <c r="AN16" s="53" cm="1">
        <f t="array" ref="AN16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15110142.5</v>
      </c>
      <c r="AO16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240143477</v>
      </c>
      <c r="AP16" s="48">
        <f>ROUND(Data15272025121621[[#This Row],[سایر مزایا]]+Data15272025121621[[#This Row],[اضافه کار]]+Data15272025121621[[#This Row],[جمعه کاری]],0)</f>
        <v>183143477</v>
      </c>
      <c r="AQ16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73625549</v>
      </c>
      <c r="AR16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245099452.5</v>
      </c>
      <c r="AS16" s="47">
        <f>Data15272025121621[[#This Row],[روز بیمه]]*Data15272025121621[[#This Row],[پایه سنواتی]]*Data15272025121621[[#This Row],[تعداد سال کارکرد]]</f>
        <v>0</v>
      </c>
      <c r="AT16" s="53">
        <f>ROUND(Data15272025121621[[#This Row],[جمع حقوق و مزایا مشمول بیمه]]*0.07,0)</f>
        <v>29925647</v>
      </c>
      <c r="AU16" s="53">
        <f>ROUND(Data15272025121621[[#This Row],[جمع حقوق و مزایا مشمول بیمه]]*0.2,0)</f>
        <v>85501849</v>
      </c>
      <c r="AV16" s="53">
        <f>ROUND(Data15272025121621[[#This Row],[جمع حقوق و مزایا مشمول بیمه]]*0.03,0)</f>
        <v>12825277</v>
      </c>
      <c r="AW16" s="53">
        <f>Data15272025121621[[#This Row],[بیمه بیکاری]]+Data15272025121621[[#This Row],[بیمه سهم کارفرما]]+Data15272025121621[[#This Row],[بیمه سهم کارگر]]</f>
        <v>128252773</v>
      </c>
      <c r="AX16" s="48">
        <f>Data15272025121621[[#This Row],[روز بیمه]]*Data15272025121621[[#This Row],[مزد مبنا]]</f>
        <v>187365767</v>
      </c>
      <c r="AY16" s="48">
        <f>Data15272025121621[[#This Row],[حقوق پایه]]+Data15272025121621[[#This Row],[مزایا مستمر مشمول مالیات]]</f>
        <v>260991316</v>
      </c>
      <c r="AZ16" s="49">
        <f>(Data15272025121621[[#This Row],[حقوق پایه]]+Data15272025121621[[#This Row],[ مزایا مشمول]])*Data15272025121621[[#This Row],[بیمه]]</f>
        <v>427509244</v>
      </c>
      <c r="BA16" s="54">
        <f>ROUND(((Data15272025121621[[#This Row],[ساعت کارکرد]]/Data15272025121621[[#This Row],[کارکرد قرارداد شده]])*Data15272025121621[[#This Row],[حقوق قرارداد شده]]),0)</f>
        <v>672608696</v>
      </c>
      <c r="BB16" s="54">
        <f>Data15272025121621[[#This Row],[بیمه سهم کارگر]]</f>
        <v>29925647</v>
      </c>
      <c r="BC16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642683048</v>
      </c>
      <c r="BD16" s="125" t="str">
        <f>_xlfn.XLOOKUP(Data15272025121621[[#This Row],[کد ملی]],emp_info[کد ملی],emp_info[شماره حساب])</f>
        <v>0347053553005</v>
      </c>
      <c r="BE16" s="50">
        <f>TRUNC(Data15272025121621[[#This Row],[حقوق خالص]]-Data15272025121621[[#This Row],[کسر مساعده]])</f>
        <v>642683048</v>
      </c>
      <c r="BF16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16" s="2">
        <v>216506113</v>
      </c>
      <c r="BI16" s="2">
        <v>149780840</v>
      </c>
      <c r="BJ16" s="20">
        <f t="shared" si="0"/>
        <v>183143476.5</v>
      </c>
      <c r="BL16" s="2">
        <f>Data15272025121621[[#This Row],[بیمه]]</f>
        <v>1</v>
      </c>
      <c r="BM16" s="114" t="str" cm="1">
        <f t="array" ref="BM16">DSKKAR1817292231141823[DSK_ID]</f>
        <v>4894290013</v>
      </c>
      <c r="BN16" s="115" t="str" cm="1">
        <f t="array" ref="BN16">DSKKAR1817292231141823[DSK_YY]</f>
        <v>05</v>
      </c>
      <c r="BO16" s="115" t="str" cm="1">
        <f t="array" ref="BO16">DSKKAR1817292231141823[DSK_MM]</f>
        <v>04</v>
      </c>
      <c r="BP16" s="116" t="str" cm="1">
        <f t="array" ref="BP16">DSKKAR1817292231141823[DSK_LISTNO]</f>
        <v>01</v>
      </c>
      <c r="BQ16" s="117">
        <f>_xlfn.XLOOKUP(Data15272025121621[[#This Row],[کد ملی]],emp_info[کد ملی],emp_info[شماره بیمه],"یافت نشد")</f>
        <v>52724816</v>
      </c>
      <c r="BR16" s="116" t="str">
        <f>_xlfn.XLOOKUP(Data15272025121621[[#This Row],[کد ملی]],emp_info[کد ملی],emp_info[نام],"یافت نشد")</f>
        <v>سامان</v>
      </c>
      <c r="BS16" s="116" t="str">
        <f>_xlfn.XLOOKUP(Data15272025121621[[#This Row],[کد ملی]],emp_info[کد ملی],emp_info[نام خانوادگی],"یافت نشد")</f>
        <v>تقوي سوق</v>
      </c>
      <c r="BT16" s="116" t="str">
        <f>_xlfn.XLOOKUP(Data15272025121621[[#This Row],[کد ملی]],emp_info[کد ملی],emp_info[نام  پدر],"یافت نشد")</f>
        <v>نصرت اله</v>
      </c>
      <c r="BU16" s="116">
        <f>_xlfn.XLOOKUP(Data15272025121621[[#This Row],[کد ملی]],emp_info[کد ملی],emp_info[شماره شناسنامه],"یافت نشد")</f>
        <v>847</v>
      </c>
      <c r="BV16" s="116" t="str">
        <f>_xlfn.XLOOKUP(Data15272025121621[[#This Row],[کد ملی]],emp_info[کد ملی],emp_info[محل صدور],"یافت نشد")</f>
        <v>کهکیلویه</v>
      </c>
      <c r="BW16" s="116">
        <f>_xlfn.XLOOKUP(Data15272025121621[[#This Row],[کد ملی]],emp_info[کد ملی],emp_info[تاریخ صدور],"یافت نشد")</f>
        <v>0</v>
      </c>
      <c r="BX16" s="116">
        <f>_xlfn.XLOOKUP(Data15272025121621[[#This Row],[کد ملی]],emp_info[کد ملی],emp_info[تاریخ تولد],"یافت نشد")</f>
        <v>13670630</v>
      </c>
      <c r="BY16" s="116" t="str">
        <f>_xlfn.XLOOKUP(Data15272025121621[[#This Row],[کد ملی]],emp_info[کد ملی],emp_info[جنسیت],"یافت نشد")</f>
        <v>مرد</v>
      </c>
      <c r="BZ16" s="116" t="s">
        <v>122</v>
      </c>
      <c r="CA16" s="116" t="str">
        <f>_xlfn.XLOOKUP(Data15272025121621[[#This Row],[کد ملی]],emp_info[کد ملی],emp_info[سمت شغل],"یافت نشد")</f>
        <v>دفترفني</v>
      </c>
      <c r="CB16" s="116">
        <f>_xlfn.XLOOKUP(Data15272025121621[[#This Row],[کد ملی]],emp_info[کد ملی],emp_info[تاریخ شروع به کار],"یافت نشد")</f>
        <v>14040901</v>
      </c>
      <c r="CC16" s="118">
        <f>_xlfn.XLOOKUP(Data15272025121621[[#This Row],[کد ملی]],emp_info[کد ملی],emp_info[ [ تاریخ پایان کار] ],"یافت نشد")</f>
        <v>0</v>
      </c>
      <c r="CD16" s="118">
        <f>Data15272025121621[[#This Row],[روز بیمه]]</f>
        <v>31</v>
      </c>
      <c r="CE16" s="118">
        <f>Data15272025121621[[#This Row],[مزد روزانه ]]</f>
        <v>6044057</v>
      </c>
      <c r="CF16" s="118">
        <f>Data15272025121621[[#This Row],[حقوق پایه]]</f>
        <v>187365767</v>
      </c>
      <c r="CG16" s="118">
        <f>Data15272025121621[[#This Row],[ مزایا مشمول]]</f>
        <v>240143477</v>
      </c>
      <c r="CH16" s="118">
        <f>Data15272025121621[[#This Row],[جمع حقوق و مزایا مشمول بیمه]]</f>
        <v>427509244</v>
      </c>
      <c r="CI16" s="117">
        <f>Data15272025121621[[#This Row],[حقوق ناخالص]]</f>
        <v>672608696</v>
      </c>
      <c r="CJ16" s="117">
        <f>Data15272025121621[[#This Row],[بیمه سهم کارگر]]</f>
        <v>29925647</v>
      </c>
      <c r="CK16" s="116">
        <v>5</v>
      </c>
      <c r="CL16" s="116" t="str">
        <f>TEXT(_xlfn.XLOOKUP(Data15272025121621[[#This Row],[کد ملی]],emp_info[کد ملی],emp_info[کد شغل],"یافت نشد"),"000000")</f>
        <v>009062</v>
      </c>
      <c r="CM16" s="116">
        <f>Data15272025121621[[#This Row],[کد ملی]]</f>
        <v>4251252772</v>
      </c>
      <c r="CN16" s="116">
        <f>Data15272025121621[[#This Row],[پایه سنواتی]]*Data15272025121621[[#This Row],[تعداد سال کارکرد]]</f>
        <v>0</v>
      </c>
      <c r="CO16" s="117">
        <f>Data15272025121621[[#This Row],[حق تاهل]]</f>
        <v>5000000</v>
      </c>
    </row>
    <row r="17" spans="1:93" ht="24.95" customHeight="1">
      <c r="A17" s="140" t="str">
        <f>_xlfn.XLOOKUP(Data15272025121621[[#This Row],[کد ملی]],emp_info[کد ملی],emp_info[گروه])</f>
        <v>شاغل</v>
      </c>
      <c r="B17" s="121">
        <f>ROWS($A$1:A11)</f>
        <v>11</v>
      </c>
      <c r="C17" s="121">
        <f>_xlfn.XLOOKUP(Data15272025121621[[#This Row],[کد ملی]],emp_info[کد ملی],emp_info[maliat])</f>
        <v>1</v>
      </c>
      <c r="D17" s="121">
        <f>_xlfn.XLOOKUP(Data15272025121621[[#This Row],[کد ملی]],emp_info[کد ملی],emp_info[بیمه])</f>
        <v>1</v>
      </c>
      <c r="E17" s="121">
        <f>_xlfn.XLOOKUP(Data15272025121621[[#This Row],[کد ملی]],emp_info[کد ملی],emp_info[bank])</f>
        <v>1</v>
      </c>
      <c r="F17" s="5">
        <v>2291709615</v>
      </c>
      <c r="G17" s="47" t="str">
        <f>_xlfn.XLOOKUP(Data15272025121621[[#This Row],[کد ملی]],emp_info[کد ملی],emp_info[نام])&amp;" "&amp;_xlfn.XLOOKUP(Data15272025121621[[#This Row],[کد ملی]],emp_info[کد ملی],emp_info[نام خانوادگی])</f>
        <v>دانيال شيرواني</v>
      </c>
      <c r="H17" s="47" t="str">
        <f>_xlfn.XLOOKUP(Data15272025121621[[#This Row],[کد ملی]],emp_info[کد ملی],emp_info[وضعیت تاهل],"یافت نشد")</f>
        <v>متاهل</v>
      </c>
      <c r="I17" s="47">
        <f>_xlfn.XLOOKUP(Data15272025121621[[#This Row],[کد ملی]],emp_info[کد ملی],emp_info[تعداد فرزند],"یافت نشد")</f>
        <v>2</v>
      </c>
      <c r="J17" s="47">
        <f>_xlfn.XLOOKUP(Data15272025121621[[#This Row],[کد ملی]],emp_info[کد ملی],emp_info[ساعت کار قرارداد شده],"یافت نشد")</f>
        <v>230</v>
      </c>
      <c r="K17" s="53">
        <f>_xlfn.XLOOKUP(Data15272025121621[[#This Row],[کد ملی]],emp_info[کد ملی],emp_info[حقوق قرارداد شده],"یافت نشد")</f>
        <v>520000000</v>
      </c>
      <c r="L17" s="47">
        <f>_xlfn.XLOOKUP(Data15272025121621[[#This Row],[کد ملی]],emp_info[کد ملی],emp_info[گروه شغلی],"یافت نشد")</f>
        <v>10</v>
      </c>
      <c r="M17" s="48">
        <f>_xlfn.XLOOKUP(Data15272025121621[[#This Row],[کد ملی]],emp_info[کد ملی],emp_info[[مزد روزانه ]],"یافت نشد")</f>
        <v>5867844</v>
      </c>
      <c r="N17" s="47">
        <f>_xlfn.XLOOKUP(Data15272025121621[[#This Row],[کد ملی]],emp_info[کد ملی],emp_info[پایه سنواتی],"یافت نشد")</f>
        <v>168467</v>
      </c>
      <c r="O17" s="47">
        <f>_xlfn.XLOOKUP(Data15272025121621[[#This Row],[کد ملی]],emp_info[کد ملی],emp_info[تعداد سال کارکرد],"یافت نشد")</f>
        <v>0</v>
      </c>
      <c r="P17" s="47">
        <f>_xlfn.XLOOKUP(Data15272025121621[[#This Row],[کد ملی]],emp_info[کد ملی],emp_info[مزد مبنا],"یافت نشد")</f>
        <v>5867844</v>
      </c>
      <c r="Q17" s="47">
        <v>310</v>
      </c>
      <c r="R17" s="47">
        <v>31</v>
      </c>
      <c r="S17" s="47">
        <v>0</v>
      </c>
      <c r="T17" s="47">
        <v>0</v>
      </c>
      <c r="U17" s="49">
        <f>TRUNC(Data15272025121621[[#This Row],[حق ماموریت]]/Data15272025121621[[#This Row],[مزد مبنا]])</f>
        <v>13</v>
      </c>
      <c r="V17" s="47">
        <v>0</v>
      </c>
      <c r="W17" s="53">
        <v>0</v>
      </c>
      <c r="X17" s="53">
        <v>0</v>
      </c>
      <c r="Y17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7" s="53">
        <v>192353236.5</v>
      </c>
      <c r="AA17" s="49" cm="1">
        <f t="array" ref="AA1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115068624</v>
      </c>
      <c r="AB17" s="49" cm="1">
        <f t="array" ref="AB1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77284612</v>
      </c>
      <c r="AC17" s="53" cm="1">
        <f t="array" ref="AC17">ROUND(5*Data15272025121621[[#This Row],[مزد مبنا]]*(Data15272025121621[[#This Row],[روز بیمه]]/list_info302332152027[تعداد روز ماه]),0)</f>
        <v>29339220</v>
      </c>
      <c r="AD17" s="53">
        <f>ROUND(2.5*(Data15272025121621[[#This Row],[پایه سنواتی]]+Data15272025121621[[#This Row],[مزد روزانه ]])*0,0)</f>
        <v>0</v>
      </c>
      <c r="AE17" s="48" cm="1">
        <f t="array" ref="AE17">ROUND(22000000*Data15272025121621[[#This Row],[روز بیمه]]/list_info302332152027[تعداد روز ماه],0)</f>
        <v>22000000</v>
      </c>
      <c r="AF17" s="48" cm="1">
        <f t="array" ref="AF17">ROUND(list_info302332152027[حق مسکن]*Data15272025121621[[#This Row],[روز بیمه]]/list_info302332152027[تعداد روز ماه],0)</f>
        <v>30000000</v>
      </c>
      <c r="AG17" s="47" cm="1">
        <f t="array" ref="AG17">ROUND(IF(Data15272025121621[[#This Row],[وضعیت تاهل]]="متاهل",list_info302332152027[حق تاهل],0)*Data15272025121621[[#This Row],[روز بیمه]]/list_info302332152027[تعداد روز ماه],0)</f>
        <v>5000000</v>
      </c>
      <c r="AH17" s="47" cm="1">
        <f t="array" ref="AH17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7" s="57" cm="1">
        <f t="array" ref="AI17">list_info302332152027[[درصد فوق العاده جذب تخصصی ماهیانه ]]*Data15272025121621[[#This Row],[مزد روزانه ]]*Data15272025121621[[#This Row],[روز بیمه]]</f>
        <v>0</v>
      </c>
      <c r="AJ17" s="57" cm="1">
        <f t="array" ref="AJ17">list_info302332152027[درصد فوق العاده بدی آب و هوا]*Data15272025121621[[#This Row],[مزد روزانه ]]*Data15272025121621[[#This Row],[روز بیمه]]</f>
        <v>0</v>
      </c>
      <c r="AK17" s="57" cm="1">
        <f t="array" ref="AK17">list_info302332152027[[فوق العاده جذب تخصصی دوری از خانواده ]]*Data15272025121621[[#This Row],[مزد روزانه ]]*Data15272025121621[[#This Row],[روز بیمه]]</f>
        <v>0</v>
      </c>
      <c r="AL17" s="57" cm="1">
        <f t="array" ref="AL17">list_info302332152027[فوق العاده پارس جنوبی]*Data15272025121621[[#This Row],[مزد روزانه ]]*Data15272025121621[[#This Row],[روز بیمه]]</f>
        <v>0</v>
      </c>
      <c r="AM17" s="53" cm="1">
        <f t="array" ref="AM17">ROUND((Data15272025121621[[#This Row],[روز بیمه]]/list_info302332152027[تعداد روز ماه])*Data15272025121621[[#This Row],[تعداد فرزند]]*list_info302332152027[حق اولاد],0)</f>
        <v>33251098</v>
      </c>
      <c r="AN17" s="53" cm="1">
        <f t="array" ref="AN17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17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249353237</v>
      </c>
      <c r="AP17" s="48">
        <f>ROUND(Data15272025121621[[#This Row],[سایر مزایا]]+Data15272025121621[[#This Row],[اضافه کار]]+Data15272025121621[[#This Row],[جمعه کاری]],0)</f>
        <v>192353237</v>
      </c>
      <c r="AQ17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90251098</v>
      </c>
      <c r="AR17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269613164</v>
      </c>
      <c r="AS17" s="47">
        <f>Data15272025121621[[#This Row],[روز بیمه]]*Data15272025121621[[#This Row],[پایه سنواتی]]*Data15272025121621[[#This Row],[تعداد سال کارکرد]]</f>
        <v>0</v>
      </c>
      <c r="AT17" s="53">
        <f>ROUND(Data15272025121621[[#This Row],[جمع حقوق و مزایا مشمول بیمه]]*0.07,0)</f>
        <v>30187948</v>
      </c>
      <c r="AU17" s="53">
        <f>ROUND(Data15272025121621[[#This Row],[جمع حقوق و مزایا مشمول بیمه]]*0.2,0)</f>
        <v>86251280</v>
      </c>
      <c r="AV17" s="53">
        <f>ROUND(Data15272025121621[[#This Row],[جمع حقوق و مزایا مشمول بیمه]]*0.03,0)</f>
        <v>12937692</v>
      </c>
      <c r="AW17" s="53">
        <f>Data15272025121621[[#This Row],[بیمه بیکاری]]+Data15272025121621[[#This Row],[بیمه سهم کارفرما]]+Data15272025121621[[#This Row],[بیمه سهم کارگر]]</f>
        <v>129376920</v>
      </c>
      <c r="AX17" s="48">
        <f>Data15272025121621[[#This Row],[روز بیمه]]*Data15272025121621[[#This Row],[مزد مبنا]]</f>
        <v>181903164</v>
      </c>
      <c r="AY17" s="48">
        <f>Data15272025121621[[#This Row],[حقوق پایه]]+Data15272025121621[[#This Row],[مزایا مستمر مشمول مالیات]]</f>
        <v>272154262</v>
      </c>
      <c r="AZ17" s="49">
        <f>(Data15272025121621[[#This Row],[حقوق پایه]]+Data15272025121621[[#This Row],[ مزایا مشمول]])*Data15272025121621[[#This Row],[بیمه]]</f>
        <v>431256401</v>
      </c>
      <c r="BA17" s="54">
        <f>ROUND(((Data15272025121621[[#This Row],[ساعت کارکرد]]/Data15272025121621[[#This Row],[کارکرد قرارداد شده]])*Data15272025121621[[#This Row],[حقوق قرارداد شده]]),0)</f>
        <v>700869565</v>
      </c>
      <c r="BB17" s="54">
        <f>Data15272025121621[[#This Row],[بیمه سهم کارگر]]</f>
        <v>30187948</v>
      </c>
      <c r="BC17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670681617</v>
      </c>
      <c r="BD17" s="125" t="str">
        <f>_xlfn.XLOOKUP(Data15272025121621[[#This Row],[کد ملی]],emp_info[کد ملی],emp_info[شماره حساب])</f>
        <v>0114072807002</v>
      </c>
      <c r="BE17" s="50">
        <f>TRUNC(Data15272025121621[[#This Row],[حقوق خالص]]-Data15272025121621[[#This Row],[کسر مساعده]])</f>
        <v>670681617</v>
      </c>
      <c r="BF17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17" s="2">
        <v>230137249</v>
      </c>
      <c r="BI17" s="2">
        <v>154569224</v>
      </c>
      <c r="BJ17" s="20">
        <f t="shared" si="0"/>
        <v>192353236.5</v>
      </c>
      <c r="BL17" s="2">
        <f>Data15272025121621[[#This Row],[بیمه]]</f>
        <v>1</v>
      </c>
      <c r="BM17" s="114" t="str" cm="1">
        <f t="array" ref="BM17">DSKKAR1817292231141823[DSK_ID]</f>
        <v>4894290013</v>
      </c>
      <c r="BN17" s="115" t="str" cm="1">
        <f t="array" ref="BN17">DSKKAR1817292231141823[DSK_YY]</f>
        <v>05</v>
      </c>
      <c r="BO17" s="115" t="str" cm="1">
        <f t="array" ref="BO17">DSKKAR1817292231141823[DSK_MM]</f>
        <v>04</v>
      </c>
      <c r="BP17" s="116" t="str" cm="1">
        <f t="array" ref="BP17">DSKKAR1817292231141823[DSK_LISTNO]</f>
        <v>01</v>
      </c>
      <c r="BQ17" s="117">
        <f>_xlfn.XLOOKUP(Data15272025121621[[#This Row],[کد ملی]],emp_info[کد ملی],emp_info[شماره بیمه],"یافت نشد")</f>
        <v>63589851</v>
      </c>
      <c r="BR17" s="116" t="str">
        <f>_xlfn.XLOOKUP(Data15272025121621[[#This Row],[کد ملی]],emp_info[کد ملی],emp_info[نام],"یافت نشد")</f>
        <v>دانيال</v>
      </c>
      <c r="BS17" s="116" t="str">
        <f>_xlfn.XLOOKUP(Data15272025121621[[#This Row],[کد ملی]],emp_info[کد ملی],emp_info[نام خانوادگی],"یافت نشد")</f>
        <v>شيرواني</v>
      </c>
      <c r="BT17" s="116" t="str">
        <f>_xlfn.XLOOKUP(Data15272025121621[[#This Row],[کد ملی]],emp_info[کد ملی],emp_info[نام  پدر],"یافت نشد")</f>
        <v>حسینعلی</v>
      </c>
      <c r="BU17" s="116">
        <f>_xlfn.XLOOKUP(Data15272025121621[[#This Row],[کد ملی]],emp_info[کد ملی],emp_info[شماره شناسنامه],"یافت نشد")</f>
        <v>20032</v>
      </c>
      <c r="BV17" s="116" t="str">
        <f>_xlfn.XLOOKUP(Data15272025121621[[#This Row],[کد ملی]],emp_info[کد ملی],emp_info[محل صدور],"یافت نشد")</f>
        <v>شیراز</v>
      </c>
      <c r="BW17" s="116">
        <f>_xlfn.XLOOKUP(Data15272025121621[[#This Row],[کد ملی]],emp_info[کد ملی],emp_info[تاریخ صدور],"یافت نشد")</f>
        <v>0</v>
      </c>
      <c r="BX17" s="116">
        <f>_xlfn.XLOOKUP(Data15272025121621[[#This Row],[کد ملی]],emp_info[کد ملی],emp_info[تاریخ تولد],"یافت نشد")</f>
        <v>13490402</v>
      </c>
      <c r="BY17" s="116" t="str">
        <f>_xlfn.XLOOKUP(Data15272025121621[[#This Row],[کد ملی]],emp_info[کد ملی],emp_info[جنسیت],"یافت نشد")</f>
        <v>مرد</v>
      </c>
      <c r="BZ17" s="116" t="s">
        <v>122</v>
      </c>
      <c r="CA17" s="116" t="str">
        <f>_xlfn.XLOOKUP(Data15272025121621[[#This Row],[کد ملی]],emp_info[کد ملی],emp_info[سمت شغل],"یافت نشد")</f>
        <v>انباردار</v>
      </c>
      <c r="CB17" s="116">
        <f>_xlfn.XLOOKUP(Data15272025121621[[#This Row],[کد ملی]],emp_info[کد ملی],emp_info[تاریخ شروع به کار],"یافت نشد")</f>
        <v>14040901</v>
      </c>
      <c r="CC17" s="118">
        <f>_xlfn.XLOOKUP(Data15272025121621[[#This Row],[کد ملی]],emp_info[کد ملی],emp_info[ [ تاریخ پایان کار] ],"یافت نشد")</f>
        <v>0</v>
      </c>
      <c r="CD17" s="118">
        <f>Data15272025121621[[#This Row],[روز بیمه]]</f>
        <v>31</v>
      </c>
      <c r="CE17" s="118">
        <f>Data15272025121621[[#This Row],[مزد روزانه ]]</f>
        <v>5867844</v>
      </c>
      <c r="CF17" s="118">
        <f>Data15272025121621[[#This Row],[حقوق پایه]]</f>
        <v>181903164</v>
      </c>
      <c r="CG17" s="118">
        <f>Data15272025121621[[#This Row],[ مزایا مشمول]]</f>
        <v>249353237</v>
      </c>
      <c r="CH17" s="118">
        <f>Data15272025121621[[#This Row],[جمع حقوق و مزایا مشمول بیمه]]</f>
        <v>431256401</v>
      </c>
      <c r="CI17" s="117">
        <f>Data15272025121621[[#This Row],[حقوق ناخالص]]</f>
        <v>700869565</v>
      </c>
      <c r="CJ17" s="117">
        <f>Data15272025121621[[#This Row],[بیمه سهم کارگر]]</f>
        <v>30187948</v>
      </c>
      <c r="CK17" s="116">
        <v>6</v>
      </c>
      <c r="CL17" s="116" t="str">
        <f>TEXT(_xlfn.XLOOKUP(Data15272025121621[[#This Row],[کد ملی]],emp_info[کد ملی],emp_info[کد شغل],"یافت نشد"),"000000")</f>
        <v>000255</v>
      </c>
      <c r="CM17" s="116">
        <f>Data15272025121621[[#This Row],[کد ملی]]</f>
        <v>2291709615</v>
      </c>
      <c r="CN17" s="116">
        <f>Data15272025121621[[#This Row],[پایه سنواتی]]*Data15272025121621[[#This Row],[تعداد سال کارکرد]]</f>
        <v>0</v>
      </c>
      <c r="CO17" s="117">
        <f>Data15272025121621[[#This Row],[حق تاهل]]</f>
        <v>5000000</v>
      </c>
    </row>
    <row r="18" spans="1:93" ht="24.95" customHeight="1">
      <c r="A18" s="140" t="str">
        <f>_xlfn.XLOOKUP(Data15272025121621[[#This Row],[کد ملی]],emp_info[کد ملی],emp_info[گروه])</f>
        <v>شاغل</v>
      </c>
      <c r="B18" s="121">
        <f>ROWS($A$1:A12)</f>
        <v>12</v>
      </c>
      <c r="C18" s="121">
        <f>_xlfn.XLOOKUP(Data15272025121621[[#This Row],[کد ملی]],emp_info[کد ملی],emp_info[maliat])</f>
        <v>1</v>
      </c>
      <c r="D18" s="121">
        <f>_xlfn.XLOOKUP(Data15272025121621[[#This Row],[کد ملی]],emp_info[کد ملی],emp_info[بیمه])</f>
        <v>1</v>
      </c>
      <c r="E18" s="121">
        <f>_xlfn.XLOOKUP(Data15272025121621[[#This Row],[کد ملی]],emp_info[کد ملی],emp_info[bank])</f>
        <v>1</v>
      </c>
      <c r="F18" s="5">
        <v>3579980858</v>
      </c>
      <c r="G18" s="47" t="str">
        <f>_xlfn.XLOOKUP(Data15272025121621[[#This Row],[کد ملی]],emp_info[کد ملی],emp_info[نام])&amp;" "&amp;_xlfn.XLOOKUP(Data15272025121621[[#This Row],[کد ملی]],emp_info[کد ملی],emp_info[نام خانوادگی])</f>
        <v>حسن بردستاني</v>
      </c>
      <c r="H18" s="47" t="str">
        <f>_xlfn.XLOOKUP(Data15272025121621[[#This Row],[کد ملی]],emp_info[کد ملی],emp_info[وضعیت تاهل],"یافت نشد")</f>
        <v>مجرد</v>
      </c>
      <c r="I18" s="47">
        <f>_xlfn.XLOOKUP(Data15272025121621[[#This Row],[کد ملی]],emp_info[کد ملی],emp_info[تعداد فرزند],"یافت نشد")</f>
        <v>0</v>
      </c>
      <c r="J18" s="47">
        <f>_xlfn.XLOOKUP(Data15272025121621[[#This Row],[کد ملی]],emp_info[کد ملی],emp_info[ساعت کار قرارداد شده],"یافت نشد")</f>
        <v>230</v>
      </c>
      <c r="K18" s="53">
        <f>_xlfn.XLOOKUP(Data15272025121621[[#This Row],[کد ملی]],emp_info[کد ملی],emp_info[حقوق قرارداد شده],"یافت نشد")</f>
        <v>400000000</v>
      </c>
      <c r="L18" s="47">
        <f>_xlfn.XLOOKUP(Data15272025121621[[#This Row],[کد ملی]],emp_info[کد ملی],emp_info[گروه شغلی],"یافت نشد")</f>
        <v>7</v>
      </c>
      <c r="M18" s="48">
        <f>_xlfn.XLOOKUP(Data15272025121621[[#This Row],[کد ملی]],emp_info[کد ملی],emp_info[[مزد روزانه ]],"یافت نشد")</f>
        <v>5726874</v>
      </c>
      <c r="N18" s="47">
        <f>_xlfn.XLOOKUP(Data15272025121621[[#This Row],[کد ملی]],emp_info[کد ملی],emp_info[پایه سنواتی],"یافت نشد")</f>
        <v>167867</v>
      </c>
      <c r="O18" s="47">
        <f>_xlfn.XLOOKUP(Data15272025121621[[#This Row],[کد ملی]],emp_info[کد ملی],emp_info[تعداد سال کارکرد],"یافت نشد")</f>
        <v>0</v>
      </c>
      <c r="P18" s="47">
        <f>_xlfn.XLOOKUP(Data15272025121621[[#This Row],[کد ملی]],emp_info[کد ملی],emp_info[مزد مبنا],"یافت نشد")</f>
        <v>5726874</v>
      </c>
      <c r="Q18" s="47">
        <v>240</v>
      </c>
      <c r="R18" s="47">
        <v>31</v>
      </c>
      <c r="S18" s="47">
        <v>0</v>
      </c>
      <c r="T18" s="47">
        <v>0</v>
      </c>
      <c r="U18" s="49">
        <f>TRUNC(Data15272025121621[[#This Row],[حق ماموریت]]/Data15272025121621[[#This Row],[مزد مبنا]])</f>
        <v>5</v>
      </c>
      <c r="V18" s="47">
        <v>0</v>
      </c>
      <c r="W18" s="53">
        <v>0</v>
      </c>
      <c r="X18" s="53">
        <v>0</v>
      </c>
      <c r="Y18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8" s="53">
        <v>72453327.5</v>
      </c>
      <c r="AA18" s="49" cm="1">
        <f t="array" ref="AA1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43765124</v>
      </c>
      <c r="AB18" s="49" cm="1">
        <f t="array" ref="AB1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28688203</v>
      </c>
      <c r="AC18" s="53" cm="1">
        <f t="array" ref="AC18">ROUND(5*Data15272025121621[[#This Row],[مزد مبنا]]*(Data15272025121621[[#This Row],[روز بیمه]]/list_info302332152027[تعداد روز ماه]),0)</f>
        <v>28634370</v>
      </c>
      <c r="AD18" s="53">
        <f>ROUND(2.5*(Data15272025121621[[#This Row],[پایه سنواتی]]+Data15272025121621[[#This Row],[مزد روزانه ]])*0,0)</f>
        <v>0</v>
      </c>
      <c r="AE18" s="48" cm="1">
        <f t="array" ref="AE18">ROUND(22000000*Data15272025121621[[#This Row],[روز بیمه]]/list_info302332152027[تعداد روز ماه],0)</f>
        <v>22000000</v>
      </c>
      <c r="AF18" s="48" cm="1">
        <f t="array" ref="AF18">ROUND(list_info302332152027[حق مسکن]*Data15272025121621[[#This Row],[روز بیمه]]/list_info302332152027[تعداد روز ماه],0)</f>
        <v>30000000</v>
      </c>
      <c r="AG18" s="47" cm="1">
        <f t="array" ref="AG18">ROUND(IF(Data15272025121621[[#This Row],[وضعیت تاهل]]="متاهل",list_info302332152027[حق تاهل],0)*Data15272025121621[[#This Row],[روز بیمه]]/list_info302332152027[تعداد روز ماه],0)</f>
        <v>0</v>
      </c>
      <c r="AH18" s="47" cm="1">
        <f t="array" ref="AH18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8" s="57" cm="1">
        <f t="array" ref="AI18">list_info302332152027[[درصد فوق العاده جذب تخصصی ماهیانه ]]*Data15272025121621[[#This Row],[مزد روزانه ]]*Data15272025121621[[#This Row],[روز بیمه]]</f>
        <v>0</v>
      </c>
      <c r="AJ18" s="57" cm="1">
        <f t="array" ref="AJ18">list_info302332152027[درصد فوق العاده بدی آب و هوا]*Data15272025121621[[#This Row],[مزد روزانه ]]*Data15272025121621[[#This Row],[روز بیمه]]</f>
        <v>0</v>
      </c>
      <c r="AK18" s="57" cm="1">
        <f t="array" ref="AK18">list_info302332152027[[فوق العاده جذب تخصصی دوری از خانواده ]]*Data15272025121621[[#This Row],[مزد روزانه ]]*Data15272025121621[[#This Row],[روز بیمه]]</f>
        <v>0</v>
      </c>
      <c r="AL18" s="57" cm="1">
        <f t="array" ref="AL18">list_info302332152027[فوق العاده پارس جنوبی]*Data15272025121621[[#This Row],[مزد روزانه ]]*Data15272025121621[[#This Row],[روز بیمه]]</f>
        <v>0</v>
      </c>
      <c r="AM18" s="53" cm="1">
        <f t="array" ref="AM18">ROUND((Data15272025121621[[#This Row],[روز بیمه]]/list_info302332152027[تعداد روز ماه])*Data15272025121621[[#This Row],[تعداد فرزند]]*list_info302332152027[حق اولاد],0)</f>
        <v>0</v>
      </c>
      <c r="AN18" s="53" cm="1">
        <f t="array" ref="AN18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14317185</v>
      </c>
      <c r="AO18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124453328</v>
      </c>
      <c r="AP18" s="48">
        <f>ROUND(Data15272025121621[[#This Row],[سایر مزایا]]+Data15272025121621[[#This Row],[اضافه کار]]+Data15272025121621[[#This Row],[جمعه کاری]],0)</f>
        <v>72453328</v>
      </c>
      <c r="AQ18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18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115404882</v>
      </c>
      <c r="AS18" s="47">
        <f>Data15272025121621[[#This Row],[روز بیمه]]*Data15272025121621[[#This Row],[پایه سنواتی]]*Data15272025121621[[#This Row],[تعداد سال کارکرد]]</f>
        <v>0</v>
      </c>
      <c r="AT18" s="53">
        <f>ROUND(Data15272025121621[[#This Row],[جمع حقوق و مزایا مشمول بیمه]]*0.07,0)</f>
        <v>21139050</v>
      </c>
      <c r="AU18" s="53">
        <f>ROUND(Data15272025121621[[#This Row],[جمع حقوق و مزایا مشمول بیمه]]*0.2,0)</f>
        <v>60397284</v>
      </c>
      <c r="AV18" s="53">
        <f>ROUND(Data15272025121621[[#This Row],[جمع حقوق و مزایا مشمول بیمه]]*0.03,0)</f>
        <v>9059593</v>
      </c>
      <c r="AW18" s="53">
        <f>Data15272025121621[[#This Row],[بیمه بیکاری]]+Data15272025121621[[#This Row],[بیمه سهم کارفرما]]+Data15272025121621[[#This Row],[بیمه سهم کارگر]]</f>
        <v>90595927</v>
      </c>
      <c r="AX18" s="48">
        <f>Data15272025121621[[#This Row],[روز بیمه]]*Data15272025121621[[#This Row],[مزد مبنا]]</f>
        <v>177533094</v>
      </c>
      <c r="AY18" s="48">
        <f>Data15272025121621[[#This Row],[حقوق پایه]]+Data15272025121621[[#This Row],[مزایا مستمر مشمول مالیات]]</f>
        <v>229533094</v>
      </c>
      <c r="AZ18" s="49">
        <f>(Data15272025121621[[#This Row],[حقوق پایه]]+Data15272025121621[[#This Row],[ مزایا مشمول]])*Data15272025121621[[#This Row],[بیمه]]</f>
        <v>301986422</v>
      </c>
      <c r="BA18" s="54">
        <f>ROUND(((Data15272025121621[[#This Row],[ساعت کارکرد]]/Data15272025121621[[#This Row],[کارکرد قرارداد شده]])*Data15272025121621[[#This Row],[حقوق قرارداد شده]]),0)</f>
        <v>417391304</v>
      </c>
      <c r="BB18" s="54">
        <f>Data15272025121621[[#This Row],[بیمه سهم کارگر]]</f>
        <v>21139050</v>
      </c>
      <c r="BC18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396252254</v>
      </c>
      <c r="BD18" s="125" t="str">
        <f>_xlfn.XLOOKUP(Data15272025121621[[#This Row],[کد ملی]],emp_info[کد ملی],emp_info[شماره حساب])</f>
        <v>0369013870001</v>
      </c>
      <c r="BE18" s="50">
        <f>TRUNC(Data15272025121621[[#This Row],[حقوق خالص]]-Data15272025121621[[#This Row],[کسر مساعده]])</f>
        <v>396252254</v>
      </c>
      <c r="BF18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18" s="2">
        <v>87530249</v>
      </c>
      <c r="BI18" s="2">
        <v>57376406</v>
      </c>
      <c r="BJ18" s="20">
        <f t="shared" si="0"/>
        <v>72453327.5</v>
      </c>
      <c r="BL18" s="2">
        <f>Data15272025121621[[#This Row],[بیمه]]</f>
        <v>1</v>
      </c>
      <c r="BM18" s="114" t="str" cm="1">
        <f t="array" ref="BM18">DSKKAR1817292231141823[DSK_ID]</f>
        <v>4894290013</v>
      </c>
      <c r="BN18" s="115" t="str" cm="1">
        <f t="array" ref="BN18">DSKKAR1817292231141823[DSK_YY]</f>
        <v>05</v>
      </c>
      <c r="BO18" s="115" t="str" cm="1">
        <f t="array" ref="BO18">DSKKAR1817292231141823[DSK_MM]</f>
        <v>04</v>
      </c>
      <c r="BP18" s="116" t="str" cm="1">
        <f t="array" ref="BP18">DSKKAR1817292231141823[DSK_LISTNO]</f>
        <v>01</v>
      </c>
      <c r="BQ18" s="117">
        <f>_xlfn.XLOOKUP(Data15272025121621[[#This Row],[کد ملی]],emp_info[کد ملی],emp_info[شماره بیمه],"یافت نشد")</f>
        <v>63925210</v>
      </c>
      <c r="BR18" s="116" t="str">
        <f>_xlfn.XLOOKUP(Data15272025121621[[#This Row],[کد ملی]],emp_info[کد ملی],emp_info[نام],"یافت نشد")</f>
        <v>حسن</v>
      </c>
      <c r="BS18" s="116" t="str">
        <f>_xlfn.XLOOKUP(Data15272025121621[[#This Row],[کد ملی]],emp_info[کد ملی],emp_info[نام خانوادگی],"یافت نشد")</f>
        <v>بردستاني</v>
      </c>
      <c r="BT18" s="116" t="str">
        <f>_xlfn.XLOOKUP(Data15272025121621[[#This Row],[کد ملی]],emp_info[کد ملی],emp_info[نام  پدر],"یافت نشد")</f>
        <v>عباس</v>
      </c>
      <c r="BU18" s="116">
        <f>_xlfn.XLOOKUP(Data15272025121621[[#This Row],[کد ملی]],emp_info[کد ملی],emp_info[شماره شناسنامه],"یافت نشد")</f>
        <v>431</v>
      </c>
      <c r="BV18" s="116" t="str">
        <f>_xlfn.XLOOKUP(Data15272025121621[[#This Row],[کد ملی]],emp_info[کد ملی],emp_info[محل صدور],"یافت نشد")</f>
        <v>دیر</v>
      </c>
      <c r="BW18" s="116">
        <f>_xlfn.XLOOKUP(Data15272025121621[[#This Row],[کد ملی]],emp_info[کد ملی],emp_info[تاریخ صدور],"یافت نشد")</f>
        <v>0</v>
      </c>
      <c r="BX18" s="116">
        <f>_xlfn.XLOOKUP(Data15272025121621[[#This Row],[کد ملی]],emp_info[کد ملی],emp_info[تاریخ تولد],"یافت نشد")</f>
        <v>13670101</v>
      </c>
      <c r="BY18" s="116" t="str">
        <f>_xlfn.XLOOKUP(Data15272025121621[[#This Row],[کد ملی]],emp_info[کد ملی],emp_info[جنسیت],"یافت نشد")</f>
        <v>مرد</v>
      </c>
      <c r="BZ18" s="116" t="s">
        <v>122</v>
      </c>
      <c r="CA18" s="116" t="str">
        <f>_xlfn.XLOOKUP(Data15272025121621[[#This Row],[کد ملی]],emp_info[کد ملی],emp_info[سمت شغل],"یافت نشد")</f>
        <v>کمک انباردار</v>
      </c>
      <c r="CB18" s="116">
        <f>_xlfn.XLOOKUP(Data15272025121621[[#This Row],[کد ملی]],emp_info[کد ملی],emp_info[تاریخ شروع به کار],"یافت نشد")</f>
        <v>14040901</v>
      </c>
      <c r="CC18" s="118">
        <f>_xlfn.XLOOKUP(Data15272025121621[[#This Row],[کد ملی]],emp_info[کد ملی],emp_info[ [ تاریخ پایان کار] ],"یافت نشد")</f>
        <v>0</v>
      </c>
      <c r="CD18" s="118">
        <f>Data15272025121621[[#This Row],[روز بیمه]]</f>
        <v>31</v>
      </c>
      <c r="CE18" s="118">
        <f>Data15272025121621[[#This Row],[مزد روزانه ]]</f>
        <v>5726874</v>
      </c>
      <c r="CF18" s="118">
        <f>Data15272025121621[[#This Row],[حقوق پایه]]</f>
        <v>177533094</v>
      </c>
      <c r="CG18" s="118">
        <f>Data15272025121621[[#This Row],[ مزایا مشمول]]</f>
        <v>124453328</v>
      </c>
      <c r="CH18" s="118">
        <f>Data15272025121621[[#This Row],[جمع حقوق و مزایا مشمول بیمه]]</f>
        <v>301986422</v>
      </c>
      <c r="CI18" s="117">
        <f>Data15272025121621[[#This Row],[حقوق ناخالص]]</f>
        <v>417391304</v>
      </c>
      <c r="CJ18" s="117">
        <f>Data15272025121621[[#This Row],[بیمه سهم کارگر]]</f>
        <v>21139050</v>
      </c>
      <c r="CK18" s="116">
        <v>7</v>
      </c>
      <c r="CL18" s="116" t="str">
        <f>TEXT(_xlfn.XLOOKUP(Data15272025121621[[#This Row],[کد ملی]],emp_info[کد ملی],emp_info[کد شغل],"یافت نشد"),"000000")</f>
        <v>024109</v>
      </c>
      <c r="CM18" s="116">
        <f>Data15272025121621[[#This Row],[کد ملی]]</f>
        <v>3579980858</v>
      </c>
      <c r="CN18" s="116">
        <f>Data15272025121621[[#This Row],[پایه سنواتی]]*Data15272025121621[[#This Row],[تعداد سال کارکرد]]</f>
        <v>0</v>
      </c>
      <c r="CO18" s="117">
        <f>Data15272025121621[[#This Row],[حق تاهل]]</f>
        <v>0</v>
      </c>
    </row>
    <row r="19" spans="1:93" ht="24.95" customHeight="1">
      <c r="A19" s="140" t="str">
        <f>_xlfn.XLOOKUP(Data15272025121621[[#This Row],[کد ملی]],emp_info[کد ملی],emp_info[گروه])</f>
        <v>شاغل</v>
      </c>
      <c r="B19" s="121">
        <f>ROWS($A$1:A13)</f>
        <v>13</v>
      </c>
      <c r="C19" s="121">
        <f>_xlfn.XLOOKUP(Data15272025121621[[#This Row],[کد ملی]],emp_info[کد ملی],emp_info[maliat])</f>
        <v>1</v>
      </c>
      <c r="D19" s="121">
        <f>_xlfn.XLOOKUP(Data15272025121621[[#This Row],[کد ملی]],emp_info[کد ملی],emp_info[بیمه])</f>
        <v>1</v>
      </c>
      <c r="E19" s="121">
        <f>_xlfn.XLOOKUP(Data15272025121621[[#This Row],[کد ملی]],emp_info[کد ملی],emp_info[bank])</f>
        <v>1</v>
      </c>
      <c r="F19" s="5">
        <v>1900324776</v>
      </c>
      <c r="G19" s="47" t="str">
        <f>_xlfn.XLOOKUP(Data15272025121621[[#This Row],[کد ملی]],emp_info[کد ملی],emp_info[نام])&amp;" "&amp;_xlfn.XLOOKUP(Data15272025121621[[#This Row],[کد ملی]],emp_info[کد ملی],emp_info[نام خانوادگی])</f>
        <v>حفيظ اله رستم يگانه</v>
      </c>
      <c r="H19" s="47" t="str">
        <f>_xlfn.XLOOKUP(Data15272025121621[[#This Row],[کد ملی]],emp_info[کد ملی],emp_info[وضعیت تاهل],"یافت نشد")</f>
        <v>مجرد</v>
      </c>
      <c r="I19" s="47">
        <f>_xlfn.XLOOKUP(Data15272025121621[[#This Row],[کد ملی]],emp_info[کد ملی],emp_info[تعداد فرزند],"یافت نشد")</f>
        <v>0</v>
      </c>
      <c r="J19" s="47">
        <f>_xlfn.XLOOKUP(Data15272025121621[[#This Row],[کد ملی]],emp_info[کد ملی],emp_info[ساعت کار قرارداد شده],"یافت نشد")</f>
        <v>230</v>
      </c>
      <c r="K19" s="53">
        <f>_xlfn.XLOOKUP(Data15272025121621[[#This Row],[کد ملی]],emp_info[کد ملی],emp_info[حقوق قرارداد شده],"یافت نشد")</f>
        <v>470000000</v>
      </c>
      <c r="L19" s="47">
        <f>_xlfn.XLOOKUP(Data15272025121621[[#This Row],[کد ملی]],emp_info[کد ملی],emp_info[گروه شغلی],"یافت نشد")</f>
        <v>13</v>
      </c>
      <c r="M19" s="48">
        <f>_xlfn.XLOOKUP(Data15272025121621[[#This Row],[کد ملی]],emp_info[کد ملی],emp_info[[مزد روزانه ]],"یافت نشد")</f>
        <v>6044057</v>
      </c>
      <c r="N19" s="47">
        <f>_xlfn.XLOOKUP(Data15272025121621[[#This Row],[کد ملی]],emp_info[کد ملی],emp_info[پایه سنواتی],"یافت نشد")</f>
        <v>169467</v>
      </c>
      <c r="O19" s="47">
        <f>_xlfn.XLOOKUP(Data15272025121621[[#This Row],[کد ملی]],emp_info[کد ملی],emp_info[تعداد سال کارکرد],"یافت نشد")</f>
        <v>0</v>
      </c>
      <c r="P19" s="47">
        <f>_xlfn.XLOOKUP(Data15272025121621[[#This Row],[کد ملی]],emp_info[کد ملی],emp_info[مزد مبنا],"یافت نشد")</f>
        <v>6044057</v>
      </c>
      <c r="Q19" s="47">
        <v>186</v>
      </c>
      <c r="R19" s="47">
        <v>31</v>
      </c>
      <c r="S19" s="47">
        <v>0</v>
      </c>
      <c r="T19" s="47">
        <v>0</v>
      </c>
      <c r="U19" s="49">
        <f>TRUNC(Data15272025121621[[#This Row],[حق ماموریت]]/Data15272025121621[[#This Row],[مزد مبنا]])</f>
        <v>3</v>
      </c>
      <c r="V19" s="47">
        <v>0</v>
      </c>
      <c r="W19" s="53">
        <v>0</v>
      </c>
      <c r="X19" s="53">
        <v>0</v>
      </c>
      <c r="Y19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19" s="53">
        <v>47695381.5</v>
      </c>
      <c r="AA19" s="49" cm="1">
        <f t="array" ref="AA1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28191944</v>
      </c>
      <c r="AB19" s="49" cm="1">
        <f t="array" ref="AB1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19503436</v>
      </c>
      <c r="AC19" s="53" cm="1">
        <f t="array" ref="AC19">ROUND(5*Data15272025121621[[#This Row],[مزد مبنا]]*(Data15272025121621[[#This Row],[روز بیمه]]/list_info302332152027[تعداد روز ماه]),0)</f>
        <v>30220285</v>
      </c>
      <c r="AD19" s="53">
        <f>ROUND(2.5*(Data15272025121621[[#This Row],[پایه سنواتی]]+Data15272025121621[[#This Row],[مزد روزانه ]])*0,0)</f>
        <v>0</v>
      </c>
      <c r="AE19" s="48" cm="1">
        <f t="array" ref="AE19">ROUND(22000000*Data15272025121621[[#This Row],[روز بیمه]]/list_info302332152027[تعداد روز ماه],0)</f>
        <v>22000000</v>
      </c>
      <c r="AF19" s="48" cm="1">
        <f t="array" ref="AF19">ROUND(list_info302332152027[حق مسکن]*Data15272025121621[[#This Row],[روز بیمه]]/list_info302332152027[تعداد روز ماه],0)</f>
        <v>30000000</v>
      </c>
      <c r="AG19" s="47" cm="1">
        <f t="array" ref="AG19">ROUND(IF(Data15272025121621[[#This Row],[وضعیت تاهل]]="متاهل",list_info302332152027[حق تاهل],0)*Data15272025121621[[#This Row],[روز بیمه]]/list_info302332152027[تعداد روز ماه],0)</f>
        <v>0</v>
      </c>
      <c r="AH19" s="47" cm="1">
        <f t="array" ref="AH19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19" s="57" cm="1">
        <f t="array" ref="AI19">list_info302332152027[[درصد فوق العاده جذب تخصصی ماهیانه ]]*Data15272025121621[[#This Row],[مزد روزانه ]]*Data15272025121621[[#This Row],[روز بیمه]]</f>
        <v>0</v>
      </c>
      <c r="AJ19" s="57" cm="1">
        <f t="array" ref="AJ19">list_info302332152027[درصد فوق العاده بدی آب و هوا]*Data15272025121621[[#This Row],[مزد روزانه ]]*Data15272025121621[[#This Row],[روز بیمه]]</f>
        <v>0</v>
      </c>
      <c r="AK19" s="57" cm="1">
        <f t="array" ref="AK19">list_info302332152027[[فوق العاده جذب تخصصی دوری از خانواده ]]*Data15272025121621[[#This Row],[مزد روزانه ]]*Data15272025121621[[#This Row],[روز بیمه]]</f>
        <v>0</v>
      </c>
      <c r="AL19" s="57" cm="1">
        <f t="array" ref="AL19">list_info302332152027[فوق العاده پارس جنوبی]*Data15272025121621[[#This Row],[مزد روزانه ]]*Data15272025121621[[#This Row],[روز بیمه]]</f>
        <v>0</v>
      </c>
      <c r="AM19" s="53" cm="1">
        <f t="array" ref="AM19">ROUND((Data15272025121621[[#This Row],[روز بیمه]]/list_info302332152027[تعداد روز ماه])*Data15272025121621[[#This Row],[تعداد فرزند]]*list_info302332152027[حق اولاد],0)</f>
        <v>0</v>
      </c>
      <c r="AN19" s="53" cm="1">
        <f t="array" ref="AN19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15110142.5</v>
      </c>
      <c r="AO19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99695382</v>
      </c>
      <c r="AP19" s="48">
        <f>ROUND(Data15272025121621[[#This Row],[سایر مزایا]]+Data15272025121621[[#This Row],[اضافه کار]]+Data15272025121621[[#This Row],[جمعه کاری]],0)</f>
        <v>47695382</v>
      </c>
      <c r="AQ19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19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93025807.5</v>
      </c>
      <c r="AS19" s="47">
        <f>Data15272025121621[[#This Row],[روز بیمه]]*Data15272025121621[[#This Row],[پایه سنواتی]]*Data15272025121621[[#This Row],[تعداد سال کارکرد]]</f>
        <v>0</v>
      </c>
      <c r="AT19" s="53">
        <f>ROUND(Data15272025121621[[#This Row],[جمع حقوق و مزایا مشمول بیمه]]*0.07,0)</f>
        <v>20094280</v>
      </c>
      <c r="AU19" s="53">
        <f>ROUND(Data15272025121621[[#This Row],[جمع حقوق و مزایا مشمول بیمه]]*0.2,0)</f>
        <v>57412230</v>
      </c>
      <c r="AV19" s="53">
        <f>ROUND(Data15272025121621[[#This Row],[جمع حقوق و مزایا مشمول بیمه]]*0.03,0)</f>
        <v>8611834</v>
      </c>
      <c r="AW19" s="53">
        <f>Data15272025121621[[#This Row],[بیمه بیکاری]]+Data15272025121621[[#This Row],[بیمه سهم کارفرما]]+Data15272025121621[[#This Row],[بیمه سهم کارگر]]</f>
        <v>86118344</v>
      </c>
      <c r="AX19" s="48">
        <f>Data15272025121621[[#This Row],[روز بیمه]]*Data15272025121621[[#This Row],[مزد مبنا]]</f>
        <v>187365767</v>
      </c>
      <c r="AY19" s="48">
        <f>Data15272025121621[[#This Row],[حقوق پایه]]+Data15272025121621[[#This Row],[مزایا مستمر مشمول مالیات]]</f>
        <v>239365767</v>
      </c>
      <c r="AZ19" s="49">
        <f>(Data15272025121621[[#This Row],[حقوق پایه]]+Data15272025121621[[#This Row],[ مزایا مشمول]])*Data15272025121621[[#This Row],[بیمه]]</f>
        <v>287061149</v>
      </c>
      <c r="BA19" s="54">
        <f>ROUND(((Data15272025121621[[#This Row],[ساعت کارکرد]]/Data15272025121621[[#This Row],[کارکرد قرارداد شده]])*Data15272025121621[[#This Row],[حقوق قرارداد شده]]),0)</f>
        <v>380086957</v>
      </c>
      <c r="BB19" s="54">
        <f>Data15272025121621[[#This Row],[بیمه سهم کارگر]]</f>
        <v>20094280</v>
      </c>
      <c r="BC19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359992676</v>
      </c>
      <c r="BD19" s="125" t="str">
        <f>_xlfn.XLOOKUP(Data15272025121621[[#This Row],[کد ملی]],emp_info[کد ملی],emp_info[شماره حساب])</f>
        <v>0360452605000</v>
      </c>
      <c r="BE19" s="50">
        <f>TRUNC(Data15272025121621[[#This Row],[حقوق خالص]]-Data15272025121621[[#This Row],[کسر مساعده]])</f>
        <v>359992676</v>
      </c>
      <c r="BF19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-1</v>
      </c>
      <c r="BH19" s="2">
        <v>56383890</v>
      </c>
      <c r="BI19" s="2">
        <v>39006873</v>
      </c>
      <c r="BJ19" s="20">
        <f t="shared" si="0"/>
        <v>47695381.5</v>
      </c>
      <c r="BL19" s="2">
        <f>Data15272025121621[[#This Row],[بیمه]]</f>
        <v>1</v>
      </c>
      <c r="BM19" s="114" t="str" cm="1">
        <f t="array" ref="BM19">DSKKAR1817292231141823[DSK_ID]</f>
        <v>4894290013</v>
      </c>
      <c r="BN19" s="115" t="str" cm="1">
        <f t="array" ref="BN19">DSKKAR1817292231141823[DSK_YY]</f>
        <v>05</v>
      </c>
      <c r="BO19" s="115" t="str" cm="1">
        <f t="array" ref="BO19">DSKKAR1817292231141823[DSK_MM]</f>
        <v>04</v>
      </c>
      <c r="BP19" s="116" t="str" cm="1">
        <f t="array" ref="BP19">DSKKAR1817292231141823[DSK_LISTNO]</f>
        <v>01</v>
      </c>
      <c r="BQ19" s="117">
        <f>_xlfn.XLOOKUP(Data15272025121621[[#This Row],[کد ملی]],emp_info[کد ملی],emp_info[شماره بیمه],"یافت نشد")</f>
        <v>57377093</v>
      </c>
      <c r="BR19" s="116" t="str">
        <f>_xlfn.XLOOKUP(Data15272025121621[[#This Row],[کد ملی]],emp_info[کد ملی],emp_info[نام],"یافت نشد")</f>
        <v>حفيظ اله</v>
      </c>
      <c r="BS19" s="116" t="str">
        <f>_xlfn.XLOOKUP(Data15272025121621[[#This Row],[کد ملی]],emp_info[کد ملی],emp_info[نام خانوادگی],"یافت نشد")</f>
        <v>رستم يگانه</v>
      </c>
      <c r="BT19" s="116" t="str">
        <f>_xlfn.XLOOKUP(Data15272025121621[[#This Row],[کد ملی]],emp_info[کد ملی],emp_info[نام  پدر],"یافت نشد")</f>
        <v>علیرضا</v>
      </c>
      <c r="BU19" s="116">
        <f>_xlfn.XLOOKUP(Data15272025121621[[#This Row],[کد ملی]],emp_info[کد ملی],emp_info[شماره شناسنامه],"یافت نشد")</f>
        <v>1900324776</v>
      </c>
      <c r="BV19" s="116" t="str">
        <f>_xlfn.XLOOKUP(Data15272025121621[[#This Row],[کد ملی]],emp_info[کد ملی],emp_info[محل صدور],"یافت نشد")</f>
        <v>رامهرمز</v>
      </c>
      <c r="BW19" s="116">
        <f>_xlfn.XLOOKUP(Data15272025121621[[#This Row],[کد ملی]],emp_info[کد ملی],emp_info[تاریخ صدور],"یافت نشد")</f>
        <v>0</v>
      </c>
      <c r="BX19" s="116">
        <f>_xlfn.XLOOKUP(Data15272025121621[[#This Row],[کد ملی]],emp_info[کد ملی],emp_info[تاریخ تولد],"یافت نشد")</f>
        <v>13741005</v>
      </c>
      <c r="BY19" s="116" t="str">
        <f>_xlfn.XLOOKUP(Data15272025121621[[#This Row],[کد ملی]],emp_info[کد ملی],emp_info[جنسیت],"یافت نشد")</f>
        <v>مرد</v>
      </c>
      <c r="BZ19" s="116" t="s">
        <v>122</v>
      </c>
      <c r="CA19" s="116" t="str">
        <f>_xlfn.XLOOKUP(Data15272025121621[[#This Row],[کد ملی]],emp_info[کد ملی],emp_info[سمت شغل],"یافت نشد")</f>
        <v>دفترفني</v>
      </c>
      <c r="CB19" s="116">
        <f>_xlfn.XLOOKUP(Data15272025121621[[#This Row],[کد ملی]],emp_info[کد ملی],emp_info[تاریخ شروع به کار],"یافت نشد")</f>
        <v>14040901</v>
      </c>
      <c r="CC19" s="118">
        <f>_xlfn.XLOOKUP(Data15272025121621[[#This Row],[کد ملی]],emp_info[کد ملی],emp_info[ [ تاریخ پایان کار] ],"یافت نشد")</f>
        <v>0</v>
      </c>
      <c r="CD19" s="118">
        <f>Data15272025121621[[#This Row],[روز بیمه]]</f>
        <v>31</v>
      </c>
      <c r="CE19" s="118">
        <f>Data15272025121621[[#This Row],[مزد روزانه ]]</f>
        <v>6044057</v>
      </c>
      <c r="CF19" s="118">
        <f>Data15272025121621[[#This Row],[حقوق پایه]]</f>
        <v>187365767</v>
      </c>
      <c r="CG19" s="118">
        <f>Data15272025121621[[#This Row],[ مزایا مشمول]]</f>
        <v>99695382</v>
      </c>
      <c r="CH19" s="118">
        <f>Data15272025121621[[#This Row],[جمع حقوق و مزایا مشمول بیمه]]</f>
        <v>287061149</v>
      </c>
      <c r="CI19" s="117">
        <f>Data15272025121621[[#This Row],[حقوق ناخالص]]</f>
        <v>380086957</v>
      </c>
      <c r="CJ19" s="117">
        <f>Data15272025121621[[#This Row],[بیمه سهم کارگر]]</f>
        <v>20094280</v>
      </c>
      <c r="CK19" s="116">
        <v>8</v>
      </c>
      <c r="CL19" s="116" t="str">
        <f>TEXT(_xlfn.XLOOKUP(Data15272025121621[[#This Row],[کد ملی]],emp_info[کد ملی],emp_info[کد شغل],"یافت نشد"),"000000")</f>
        <v>009062</v>
      </c>
      <c r="CM19" s="116">
        <f>Data15272025121621[[#This Row],[کد ملی]]</f>
        <v>1900324776</v>
      </c>
      <c r="CN19" s="116">
        <f>Data15272025121621[[#This Row],[پایه سنواتی]]*Data15272025121621[[#This Row],[تعداد سال کارکرد]]</f>
        <v>0</v>
      </c>
      <c r="CO19" s="117">
        <f>Data15272025121621[[#This Row],[حق تاهل]]</f>
        <v>0</v>
      </c>
    </row>
    <row r="20" spans="1:93" ht="24.95" customHeight="1">
      <c r="A20" s="140" t="str">
        <f>_xlfn.XLOOKUP(Data15272025121621[[#This Row],[کد ملی]],emp_info[کد ملی],emp_info[گروه])</f>
        <v>شاغل</v>
      </c>
      <c r="B20" s="121">
        <f>ROWS($A$1:A14)</f>
        <v>14</v>
      </c>
      <c r="C20" s="121">
        <f>_xlfn.XLOOKUP(Data15272025121621[[#This Row],[کد ملی]],emp_info[کد ملی],emp_info[maliat])</f>
        <v>1</v>
      </c>
      <c r="D20" s="121">
        <f>_xlfn.XLOOKUP(Data15272025121621[[#This Row],[کد ملی]],emp_info[کد ملی],emp_info[بیمه])</f>
        <v>1</v>
      </c>
      <c r="E20" s="121">
        <f>_xlfn.XLOOKUP(Data15272025121621[[#This Row],[کد ملی]],emp_info[کد ملی],emp_info[bank])</f>
        <v>1</v>
      </c>
      <c r="F20" s="5">
        <v>4250099903</v>
      </c>
      <c r="G20" s="47" t="str">
        <f>_xlfn.XLOOKUP(Data15272025121621[[#This Row],[کد ملی]],emp_info[کد ملی],emp_info[نام])&amp;" "&amp;_xlfn.XLOOKUP(Data15272025121621[[#This Row],[کد ملی]],emp_info[کد ملی],emp_info[نام خانوادگی])</f>
        <v>سيد اصغر مرتضوي نيا</v>
      </c>
      <c r="H20" s="47" t="str">
        <f>_xlfn.XLOOKUP(Data15272025121621[[#This Row],[کد ملی]],emp_info[کد ملی],emp_info[وضعیت تاهل],"یافت نشد")</f>
        <v>متاهل</v>
      </c>
      <c r="I20" s="47">
        <f>_xlfn.XLOOKUP(Data15272025121621[[#This Row],[کد ملی]],emp_info[کد ملی],emp_info[تعداد فرزند],"یافت نشد")</f>
        <v>2</v>
      </c>
      <c r="J20" s="47">
        <f>_xlfn.XLOOKUP(Data15272025121621[[#This Row],[کد ملی]],emp_info[کد ملی],emp_info[ساعت کار قرارداد شده],"یافت نشد")</f>
        <v>230</v>
      </c>
      <c r="K20" s="53">
        <f>_xlfn.XLOOKUP(Data15272025121621[[#This Row],[کد ملی]],emp_info[کد ملی],emp_info[حقوق قرارداد شده],"یافت نشد")</f>
        <v>520000000</v>
      </c>
      <c r="L20" s="47">
        <f>_xlfn.XLOOKUP(Data15272025121621[[#This Row],[کد ملی]],emp_info[کد ملی],emp_info[گروه شغلی],"یافت نشد")</f>
        <v>10</v>
      </c>
      <c r="M20" s="48">
        <f>_xlfn.XLOOKUP(Data15272025121621[[#This Row],[کد ملی]],emp_info[کد ملی],emp_info[[مزد روزانه ]],"یافت نشد")</f>
        <v>5867844</v>
      </c>
      <c r="N20" s="47">
        <f>_xlfn.XLOOKUP(Data15272025121621[[#This Row],[کد ملی]],emp_info[کد ملی],emp_info[پایه سنواتی],"یافت نشد")</f>
        <v>168467</v>
      </c>
      <c r="O20" s="47">
        <f>_xlfn.XLOOKUP(Data15272025121621[[#This Row],[کد ملی]],emp_info[کد ملی],emp_info[تعداد سال کارکرد],"یافت نشد")</f>
        <v>0</v>
      </c>
      <c r="P20" s="47">
        <f>_xlfn.XLOOKUP(Data15272025121621[[#This Row],[کد ملی]],emp_info[کد ملی],emp_info[مزد مبنا],"یافت نشد")</f>
        <v>5867844</v>
      </c>
      <c r="Q20" s="47">
        <v>230</v>
      </c>
      <c r="R20" s="47">
        <v>31</v>
      </c>
      <c r="S20" s="47">
        <v>0</v>
      </c>
      <c r="T20" s="47">
        <v>0</v>
      </c>
      <c r="U20" s="49">
        <f>TRUNC(Data15272025121621[[#This Row],[حق ماموریت]]/Data15272025121621[[#This Row],[مزد مبنا]])</f>
        <v>6</v>
      </c>
      <c r="V20" s="47">
        <v>0</v>
      </c>
      <c r="W20" s="53">
        <v>0</v>
      </c>
      <c r="X20" s="53">
        <v>0</v>
      </c>
      <c r="Y20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0" s="53">
        <v>101918454</v>
      </c>
      <c r="AA20" s="49" cm="1">
        <f t="array" ref="AA2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60969166</v>
      </c>
      <c r="AB20" s="49" cm="1">
        <f t="array" ref="AB2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40949288</v>
      </c>
      <c r="AC20" s="53" cm="1">
        <f t="array" ref="AC20">ROUND(5*Data15272025121621[[#This Row],[مزد مبنا]]*(Data15272025121621[[#This Row],[روز بیمه]]/list_info302332152027[تعداد روز ماه]),0)</f>
        <v>29339220</v>
      </c>
      <c r="AD20" s="53">
        <f>ROUND(2.5*(Data15272025121621[[#This Row],[پایه سنواتی]]+Data15272025121621[[#This Row],[مزد روزانه ]])*0,0)</f>
        <v>0</v>
      </c>
      <c r="AE20" s="48" cm="1">
        <f t="array" ref="AE20">ROUND(22000000*Data15272025121621[[#This Row],[روز بیمه]]/list_info302332152027[تعداد روز ماه],0)</f>
        <v>22000000</v>
      </c>
      <c r="AF20" s="48" cm="1">
        <f t="array" ref="AF20">ROUND(list_info302332152027[حق مسکن]*Data15272025121621[[#This Row],[روز بیمه]]/list_info302332152027[تعداد روز ماه],0)</f>
        <v>30000000</v>
      </c>
      <c r="AG20" s="47" cm="1">
        <f t="array" ref="AG20">ROUND(IF(Data15272025121621[[#This Row],[وضعیت تاهل]]="متاهل",list_info302332152027[حق تاهل],0)*Data15272025121621[[#This Row],[روز بیمه]]/list_info302332152027[تعداد روز ماه],0)</f>
        <v>5000000</v>
      </c>
      <c r="AH20" s="47" cm="1">
        <f t="array" ref="AH20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0" s="57" cm="1">
        <f t="array" ref="AI20">list_info302332152027[[درصد فوق العاده جذب تخصصی ماهیانه ]]*Data15272025121621[[#This Row],[مزد روزانه ]]*Data15272025121621[[#This Row],[روز بیمه]]</f>
        <v>0</v>
      </c>
      <c r="AJ20" s="57" cm="1">
        <f t="array" ref="AJ20">list_info302332152027[درصد فوق العاده بدی آب و هوا]*Data15272025121621[[#This Row],[مزد روزانه ]]*Data15272025121621[[#This Row],[روز بیمه]]</f>
        <v>0</v>
      </c>
      <c r="AK20" s="57" cm="1">
        <f t="array" ref="AK20">list_info302332152027[[فوق العاده جذب تخصصی دوری از خانواده ]]*Data15272025121621[[#This Row],[مزد روزانه ]]*Data15272025121621[[#This Row],[روز بیمه]]</f>
        <v>0</v>
      </c>
      <c r="AL20" s="57" cm="1">
        <f t="array" ref="AL20">list_info302332152027[فوق العاده پارس جنوبی]*Data15272025121621[[#This Row],[مزد روزانه ]]*Data15272025121621[[#This Row],[روز بیمه]]</f>
        <v>0</v>
      </c>
      <c r="AM20" s="53" cm="1">
        <f t="array" ref="AM20">ROUND((Data15272025121621[[#This Row],[روز بیمه]]/list_info302332152027[تعداد روز ماه])*Data15272025121621[[#This Row],[تعداد فرزند]]*list_info302332152027[حق اولاد],0)</f>
        <v>33251098</v>
      </c>
      <c r="AN20" s="53" cm="1">
        <f t="array" ref="AN20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0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158918454</v>
      </c>
      <c r="AP20" s="48">
        <f>ROUND(Data15272025121621[[#This Row],[سایر مزایا]]+Data15272025121621[[#This Row],[اضافه کار]]+Data15272025121621[[#This Row],[جمعه کاری]],0)</f>
        <v>101918454</v>
      </c>
      <c r="AQ20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90251098</v>
      </c>
      <c r="AR20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179178382</v>
      </c>
      <c r="AS20" s="47">
        <f>Data15272025121621[[#This Row],[روز بیمه]]*Data15272025121621[[#This Row],[پایه سنواتی]]*Data15272025121621[[#This Row],[تعداد سال کارکرد]]</f>
        <v>0</v>
      </c>
      <c r="AT20" s="53">
        <f>ROUND(Data15272025121621[[#This Row],[جمع حقوق و مزایا مشمول بیمه]]*0.07,0)</f>
        <v>23857513</v>
      </c>
      <c r="AU20" s="53">
        <f>ROUND(Data15272025121621[[#This Row],[جمع حقوق و مزایا مشمول بیمه]]*0.2,0)</f>
        <v>68164324</v>
      </c>
      <c r="AV20" s="53">
        <f>ROUND(Data15272025121621[[#This Row],[جمع حقوق و مزایا مشمول بیمه]]*0.03,0)</f>
        <v>10224649</v>
      </c>
      <c r="AW20" s="53">
        <f>Data15272025121621[[#This Row],[بیمه بیکاری]]+Data15272025121621[[#This Row],[بیمه سهم کارفرما]]+Data15272025121621[[#This Row],[بیمه سهم کارگر]]</f>
        <v>102246486</v>
      </c>
      <c r="AX20" s="48">
        <f>Data15272025121621[[#This Row],[روز بیمه]]*Data15272025121621[[#This Row],[مزد مبنا]]</f>
        <v>181903164</v>
      </c>
      <c r="AY20" s="48">
        <f>Data15272025121621[[#This Row],[حقوق پایه]]+Data15272025121621[[#This Row],[مزایا مستمر مشمول مالیات]]</f>
        <v>272154262</v>
      </c>
      <c r="AZ20" s="49">
        <f>(Data15272025121621[[#This Row],[حقوق پایه]]+Data15272025121621[[#This Row],[ مزایا مشمول]])*Data15272025121621[[#This Row],[بیمه]]</f>
        <v>340821618</v>
      </c>
      <c r="BA20" s="54">
        <f>ROUND(((Data15272025121621[[#This Row],[ساعت کارکرد]]/Data15272025121621[[#This Row],[کارکرد قرارداد شده]])*Data15272025121621[[#This Row],[حقوق قرارداد شده]]),0)</f>
        <v>520000000</v>
      </c>
      <c r="BB20" s="54">
        <f>Data15272025121621[[#This Row],[بیمه سهم کارگر]]</f>
        <v>23857513</v>
      </c>
      <c r="BC20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496142487</v>
      </c>
      <c r="BD20" s="125" t="str">
        <f>_xlfn.XLOOKUP(Data15272025121621[[#This Row],[کد ملی]],emp_info[کد ملی],emp_info[شماره حساب])</f>
        <v>0113496303000</v>
      </c>
      <c r="BE20" s="50">
        <f>TRUNC(Data15272025121621[[#This Row],[حقوق خالص]]-Data15272025121621[[#This Row],[کسر مساعده]])</f>
        <v>496142487</v>
      </c>
      <c r="BF20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0" s="2">
        <v>121938331</v>
      </c>
      <c r="BI20" s="2">
        <v>81898577</v>
      </c>
      <c r="BJ20" s="20">
        <f t="shared" si="0"/>
        <v>101918454</v>
      </c>
      <c r="BL20" s="2">
        <f>Data15272025121621[[#This Row],[بیمه]]</f>
        <v>1</v>
      </c>
      <c r="BM20" s="114" t="str" cm="1">
        <f t="array" ref="BM20">DSKKAR1817292231141823[DSK_ID]</f>
        <v>4894290013</v>
      </c>
      <c r="BN20" s="115" t="str" cm="1">
        <f t="array" ref="BN20">DSKKAR1817292231141823[DSK_YY]</f>
        <v>05</v>
      </c>
      <c r="BO20" s="115" t="str" cm="1">
        <f t="array" ref="BO20">DSKKAR1817292231141823[DSK_MM]</f>
        <v>04</v>
      </c>
      <c r="BP20" s="116" t="str" cm="1">
        <f t="array" ref="BP20">DSKKAR1817292231141823[DSK_LISTNO]</f>
        <v>01</v>
      </c>
      <c r="BQ20" s="117">
        <f>_xlfn.XLOOKUP(Data15272025121621[[#This Row],[کد ملی]],emp_info[کد ملی],emp_info[شماره بیمه],"یافت نشد")</f>
        <v>83925555</v>
      </c>
      <c r="BR20" s="116" t="str">
        <f>_xlfn.XLOOKUP(Data15272025121621[[#This Row],[کد ملی]],emp_info[کد ملی],emp_info[نام],"یافت نشد")</f>
        <v>سيد اصغر</v>
      </c>
      <c r="BS20" s="116" t="str">
        <f>_xlfn.XLOOKUP(Data15272025121621[[#This Row],[کد ملی]],emp_info[کد ملی],emp_info[نام خانوادگی],"یافت نشد")</f>
        <v>مرتضوي نيا</v>
      </c>
      <c r="BT20" s="116" t="str">
        <f>_xlfn.XLOOKUP(Data15272025121621[[#This Row],[کد ملی]],emp_info[کد ملی],emp_info[نام  پدر],"یافت نشد")</f>
        <v>محمد حسن</v>
      </c>
      <c r="BU20" s="116">
        <f>_xlfn.XLOOKUP(Data15272025121621[[#This Row],[کد ملی]],emp_info[کد ملی],emp_info[شماره شناسنامه],"یافت نشد")</f>
        <v>262</v>
      </c>
      <c r="BV20" s="116" t="str">
        <f>_xlfn.XLOOKUP(Data15272025121621[[#This Row],[کد ملی]],emp_info[کد ملی],emp_info[محل صدور],"یافت نشد")</f>
        <v>کهکیلویه</v>
      </c>
      <c r="BW20" s="116">
        <f>_xlfn.XLOOKUP(Data15272025121621[[#This Row],[کد ملی]],emp_info[کد ملی],emp_info[تاریخ صدور],"یافت نشد")</f>
        <v>0</v>
      </c>
      <c r="BX20" s="116">
        <f>_xlfn.XLOOKUP(Data15272025121621[[#This Row],[کد ملی]],emp_info[کد ملی],emp_info[تاریخ تولد],"یافت نشد")</f>
        <v>13590706</v>
      </c>
      <c r="BY20" s="116" t="str">
        <f>_xlfn.XLOOKUP(Data15272025121621[[#This Row],[کد ملی]],emp_info[کد ملی],emp_info[جنسیت],"یافت نشد")</f>
        <v>مرد</v>
      </c>
      <c r="BZ20" s="116" t="s">
        <v>122</v>
      </c>
      <c r="CA20" s="116" t="str">
        <f>_xlfn.XLOOKUP(Data15272025121621[[#This Row],[کد ملی]],emp_info[کد ملی],emp_info[سمت شغل],"یافت نشد")</f>
        <v>انباردار</v>
      </c>
      <c r="CB20" s="116">
        <f>_xlfn.XLOOKUP(Data15272025121621[[#This Row],[کد ملی]],emp_info[کد ملی],emp_info[تاریخ شروع به کار],"یافت نشد")</f>
        <v>14040901</v>
      </c>
      <c r="CC20" s="118">
        <f>_xlfn.XLOOKUP(Data15272025121621[[#This Row],[کد ملی]],emp_info[کد ملی],emp_info[ [ تاریخ پایان کار] ],"یافت نشد")</f>
        <v>0</v>
      </c>
      <c r="CD20" s="118">
        <f>Data15272025121621[[#This Row],[روز بیمه]]</f>
        <v>31</v>
      </c>
      <c r="CE20" s="118">
        <f>Data15272025121621[[#This Row],[مزد روزانه ]]</f>
        <v>5867844</v>
      </c>
      <c r="CF20" s="118">
        <f>Data15272025121621[[#This Row],[حقوق پایه]]</f>
        <v>181903164</v>
      </c>
      <c r="CG20" s="118">
        <f>Data15272025121621[[#This Row],[ مزایا مشمول]]</f>
        <v>158918454</v>
      </c>
      <c r="CH20" s="118">
        <f>Data15272025121621[[#This Row],[جمع حقوق و مزایا مشمول بیمه]]</f>
        <v>340821618</v>
      </c>
      <c r="CI20" s="117">
        <f>Data15272025121621[[#This Row],[حقوق ناخالص]]</f>
        <v>520000000</v>
      </c>
      <c r="CJ20" s="117">
        <f>Data15272025121621[[#This Row],[بیمه سهم کارگر]]</f>
        <v>23857513</v>
      </c>
      <c r="CK20" s="116">
        <v>9</v>
      </c>
      <c r="CL20" s="116" t="str">
        <f>TEXT(_xlfn.XLOOKUP(Data15272025121621[[#This Row],[کد ملی]],emp_info[کد ملی],emp_info[کد شغل],"یافت نشد"),"000000")</f>
        <v>000255</v>
      </c>
      <c r="CM20" s="116">
        <f>Data15272025121621[[#This Row],[کد ملی]]</f>
        <v>4250099903</v>
      </c>
      <c r="CN20" s="116">
        <f>Data15272025121621[[#This Row],[پایه سنواتی]]*Data15272025121621[[#This Row],[تعداد سال کارکرد]]</f>
        <v>0</v>
      </c>
      <c r="CO20" s="117">
        <f>Data15272025121621[[#This Row],[حق تاهل]]</f>
        <v>5000000</v>
      </c>
    </row>
    <row r="21" spans="1:93" ht="24.95" customHeight="1">
      <c r="A21" s="140" t="str">
        <f>_xlfn.XLOOKUP(Data15272025121621[[#This Row],[کد ملی]],emp_info[کد ملی],emp_info[گروه])</f>
        <v>شاغل</v>
      </c>
      <c r="B21" s="121">
        <f>ROWS($A$1:A15)</f>
        <v>15</v>
      </c>
      <c r="C21" s="121">
        <f>_xlfn.XLOOKUP(Data15272025121621[[#This Row],[کد ملی]],emp_info[کد ملی],emp_info[maliat])</f>
        <v>1</v>
      </c>
      <c r="D21" s="121">
        <f>_xlfn.XLOOKUP(Data15272025121621[[#This Row],[کد ملی]],emp_info[کد ملی],emp_info[بیمه])</f>
        <v>1</v>
      </c>
      <c r="E21" s="121">
        <f>_xlfn.XLOOKUP(Data15272025121621[[#This Row],[کد ملی]],emp_info[کد ملی],emp_info[bank])</f>
        <v>1</v>
      </c>
      <c r="F21" s="5">
        <v>2380027341</v>
      </c>
      <c r="G21" s="47" t="str">
        <f>_xlfn.XLOOKUP(Data15272025121621[[#This Row],[کد ملی]],emp_info[کد ملی],emp_info[نام])&amp;" "&amp;_xlfn.XLOOKUP(Data15272025121621[[#This Row],[کد ملی]],emp_info[کد ملی],emp_info[نام خانوادگی])</f>
        <v>صادق حيدري</v>
      </c>
      <c r="H21" s="47" t="str">
        <f>_xlfn.XLOOKUP(Data15272025121621[[#This Row],[کد ملی]],emp_info[کد ملی],emp_info[وضعیت تاهل],"یافت نشد")</f>
        <v>مجرد</v>
      </c>
      <c r="I21" s="47">
        <f>_xlfn.XLOOKUP(Data15272025121621[[#This Row],[کد ملی]],emp_info[کد ملی],emp_info[تعداد فرزند],"یافت نشد")</f>
        <v>0</v>
      </c>
      <c r="J21" s="47">
        <f>_xlfn.XLOOKUP(Data15272025121621[[#This Row],[کد ملی]],emp_info[کد ملی],emp_info[ساعت کار قرارداد شده],"یافت نشد")</f>
        <v>230</v>
      </c>
      <c r="K21" s="53">
        <f>_xlfn.XLOOKUP(Data15272025121621[[#This Row],[کد ملی]],emp_info[کد ملی],emp_info[حقوق قرارداد شده],"یافت نشد")</f>
        <v>600000000</v>
      </c>
      <c r="L21" s="47">
        <f>_xlfn.XLOOKUP(Data15272025121621[[#This Row],[کد ملی]],emp_info[کد ملی],emp_info[گروه شغلی],"یافت نشد")</f>
        <v>10</v>
      </c>
      <c r="M21" s="48">
        <f>_xlfn.XLOOKUP(Data15272025121621[[#This Row],[کد ملی]],emp_info[کد ملی],emp_info[[مزد روزانه ]],"یافت نشد")</f>
        <v>5867844</v>
      </c>
      <c r="N21" s="47">
        <f>_xlfn.XLOOKUP(Data15272025121621[[#This Row],[کد ملی]],emp_info[کد ملی],emp_info[پایه سنواتی],"یافت نشد")</f>
        <v>168467</v>
      </c>
      <c r="O21" s="47">
        <f>_xlfn.XLOOKUP(Data15272025121621[[#This Row],[کد ملی]],emp_info[کد ملی],emp_info[تعداد سال کارکرد],"یافت نشد")</f>
        <v>0</v>
      </c>
      <c r="P21" s="47">
        <f>_xlfn.XLOOKUP(Data15272025121621[[#This Row],[کد ملی]],emp_info[کد ملی],emp_info[مزد مبنا],"یافت نشد")</f>
        <v>5867844</v>
      </c>
      <c r="Q21" s="47">
        <v>265</v>
      </c>
      <c r="R21" s="47">
        <v>31</v>
      </c>
      <c r="S21" s="47">
        <v>0</v>
      </c>
      <c r="T21" s="47">
        <v>0</v>
      </c>
      <c r="U21" s="49">
        <f>TRUNC(Data15272025121621[[#This Row],[حق ماموریت]]/Data15272025121621[[#This Row],[مزد مبنا]])</f>
        <v>14</v>
      </c>
      <c r="V21" s="47">
        <v>0</v>
      </c>
      <c r="W21" s="53">
        <v>0</v>
      </c>
      <c r="X21" s="53">
        <v>0</v>
      </c>
      <c r="Y21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1" s="53">
        <v>206696177</v>
      </c>
      <c r="AA21" s="49" cm="1">
        <f t="array" ref="AA2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123648789</v>
      </c>
      <c r="AB21" s="49" cm="1">
        <f t="array" ref="AB2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83047388</v>
      </c>
      <c r="AC21" s="53" cm="1">
        <f t="array" ref="AC21">ROUND(5*Data15272025121621[[#This Row],[مزد مبنا]]*(Data15272025121621[[#This Row],[روز بیمه]]/list_info302332152027[تعداد روز ماه]),0)</f>
        <v>29339220</v>
      </c>
      <c r="AD21" s="53">
        <f>ROUND(2.5*(Data15272025121621[[#This Row],[پایه سنواتی]]+Data15272025121621[[#This Row],[مزد روزانه ]])*0,0)</f>
        <v>0</v>
      </c>
      <c r="AE21" s="48" cm="1">
        <f t="array" ref="AE21">ROUND(22000000*Data15272025121621[[#This Row],[روز بیمه]]/list_info302332152027[تعداد روز ماه],0)</f>
        <v>22000000</v>
      </c>
      <c r="AF21" s="48" cm="1">
        <f t="array" ref="AF21">ROUND(list_info302332152027[حق مسکن]*Data15272025121621[[#This Row],[روز بیمه]]/list_info302332152027[تعداد روز ماه],0)</f>
        <v>30000000</v>
      </c>
      <c r="AG21" s="47" cm="1">
        <f t="array" ref="AG21">ROUND(IF(Data15272025121621[[#This Row],[وضعیت تاهل]]="متاهل",list_info302332152027[حق تاهل],0)*Data15272025121621[[#This Row],[روز بیمه]]/list_info302332152027[تعداد روز ماه],0)</f>
        <v>0</v>
      </c>
      <c r="AH21" s="47" cm="1">
        <f t="array" ref="AH21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1" s="57" cm="1">
        <f t="array" ref="AI21">list_info302332152027[[درصد فوق العاده جذب تخصصی ماهیانه ]]*Data15272025121621[[#This Row],[مزد روزانه ]]*Data15272025121621[[#This Row],[روز بیمه]]</f>
        <v>0</v>
      </c>
      <c r="AJ21" s="57" cm="1">
        <f t="array" ref="AJ21">list_info302332152027[درصد فوق العاده بدی آب و هوا]*Data15272025121621[[#This Row],[مزد روزانه ]]*Data15272025121621[[#This Row],[روز بیمه]]</f>
        <v>0</v>
      </c>
      <c r="AK21" s="57" cm="1">
        <f t="array" ref="AK21">list_info302332152027[[فوق العاده جذب تخصصی دوری از خانواده ]]*Data15272025121621[[#This Row],[مزد روزانه ]]*Data15272025121621[[#This Row],[روز بیمه]]</f>
        <v>0</v>
      </c>
      <c r="AL21" s="57" cm="1">
        <f t="array" ref="AL21">list_info302332152027[فوق العاده پارس جنوبی]*Data15272025121621[[#This Row],[مزد روزانه ]]*Data15272025121621[[#This Row],[روز بیمه]]</f>
        <v>0</v>
      </c>
      <c r="AM21" s="53" cm="1">
        <f t="array" ref="AM21">ROUND((Data15272025121621[[#This Row],[روز بیمه]]/list_info302332152027[تعداد روز ماه])*Data15272025121621[[#This Row],[تعداد فرزند]]*list_info302332152027[حق اولاد],0)</f>
        <v>0</v>
      </c>
      <c r="AN21" s="53" cm="1">
        <f t="array" ref="AN21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1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258696177</v>
      </c>
      <c r="AP21" s="48">
        <f>ROUND(Data15272025121621[[#This Row],[سایر مزایا]]+Data15272025121621[[#This Row],[اضافه کار]]+Data15272025121621[[#This Row],[جمعه کاری]],0)</f>
        <v>206696177</v>
      </c>
      <c r="AQ21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21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250705007</v>
      </c>
      <c r="AS21" s="47">
        <f>Data15272025121621[[#This Row],[روز بیمه]]*Data15272025121621[[#This Row],[پایه سنواتی]]*Data15272025121621[[#This Row],[تعداد سال کارکرد]]</f>
        <v>0</v>
      </c>
      <c r="AT21" s="53">
        <f>ROUND(Data15272025121621[[#This Row],[جمع حقوق و مزایا مشمول بیمه]]*0.07,0)</f>
        <v>30841954</v>
      </c>
      <c r="AU21" s="53">
        <f>ROUND(Data15272025121621[[#This Row],[جمع حقوق و مزایا مشمول بیمه]]*0.2,0)</f>
        <v>88119868</v>
      </c>
      <c r="AV21" s="53">
        <f>ROUND(Data15272025121621[[#This Row],[جمع حقوق و مزایا مشمول بیمه]]*0.03,0)</f>
        <v>13217980</v>
      </c>
      <c r="AW21" s="53">
        <f>Data15272025121621[[#This Row],[بیمه بیکاری]]+Data15272025121621[[#This Row],[بیمه سهم کارفرما]]+Data15272025121621[[#This Row],[بیمه سهم کارگر]]</f>
        <v>132179802</v>
      </c>
      <c r="AX21" s="48">
        <f>Data15272025121621[[#This Row],[روز بیمه]]*Data15272025121621[[#This Row],[مزد مبنا]]</f>
        <v>181903164</v>
      </c>
      <c r="AY21" s="48">
        <f>Data15272025121621[[#This Row],[حقوق پایه]]+Data15272025121621[[#This Row],[مزایا مستمر مشمول مالیات]]</f>
        <v>233903164</v>
      </c>
      <c r="AZ21" s="49">
        <f>(Data15272025121621[[#This Row],[حقوق پایه]]+Data15272025121621[[#This Row],[ مزایا مشمول]])*Data15272025121621[[#This Row],[بیمه]]</f>
        <v>440599341</v>
      </c>
      <c r="BA21" s="54">
        <f>ROUND(((Data15272025121621[[#This Row],[ساعت کارکرد]]/Data15272025121621[[#This Row],[کارکرد قرارداد شده]])*Data15272025121621[[#This Row],[حقوق قرارداد شده]]),0)</f>
        <v>691304348</v>
      </c>
      <c r="BB21" s="54">
        <f>Data15272025121621[[#This Row],[بیمه سهم کارگر]]</f>
        <v>30841954</v>
      </c>
      <c r="BC21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660462393</v>
      </c>
      <c r="BD21" s="125" t="str">
        <f>_xlfn.XLOOKUP(Data15272025121621[[#This Row],[کد ملی]],emp_info[کد ملی],emp_info[شماره حساب])</f>
        <v>IR730600600202500884434001</v>
      </c>
      <c r="BE21" s="50">
        <f>TRUNC(Data15272025121621[[#This Row],[حقوق خالص]]-Data15272025121621[[#This Row],[کسر مساعده]])</f>
        <v>660462393</v>
      </c>
      <c r="BF21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1" s="2">
        <v>247297579</v>
      </c>
      <c r="BI21" s="2">
        <v>166094775</v>
      </c>
      <c r="BJ21" s="20">
        <f t="shared" si="0"/>
        <v>206696177</v>
      </c>
      <c r="BL21" s="2">
        <f>Data15272025121621[[#This Row],[بیمه]]</f>
        <v>1</v>
      </c>
      <c r="BM21" s="114" t="str" cm="1">
        <f t="array" ref="BM21">DSKKAR1817292231141823[DSK_ID]</f>
        <v>4894290013</v>
      </c>
      <c r="BN21" s="115" t="str" cm="1">
        <f t="array" ref="BN21">DSKKAR1817292231141823[DSK_YY]</f>
        <v>05</v>
      </c>
      <c r="BO21" s="115" t="str" cm="1">
        <f t="array" ref="BO21">DSKKAR1817292231141823[DSK_MM]</f>
        <v>04</v>
      </c>
      <c r="BP21" s="116" t="str" cm="1">
        <f t="array" ref="BP21">DSKKAR1817292231141823[DSK_LISTNO]</f>
        <v>01</v>
      </c>
      <c r="BQ21" s="117">
        <f>_xlfn.XLOOKUP(Data15272025121621[[#This Row],[کد ملی]],emp_info[کد ملی],emp_info[شماره بیمه],"یافت نشد")</f>
        <v>73468271</v>
      </c>
      <c r="BR21" s="116" t="str">
        <f>_xlfn.XLOOKUP(Data15272025121621[[#This Row],[کد ملی]],emp_info[کد ملی],emp_info[نام],"یافت نشد")</f>
        <v>صادق</v>
      </c>
      <c r="BS21" s="116" t="str">
        <f>_xlfn.XLOOKUP(Data15272025121621[[#This Row],[کد ملی]],emp_info[کد ملی],emp_info[نام خانوادگی],"یافت نشد")</f>
        <v>حيدري</v>
      </c>
      <c r="BT21" s="116" t="str">
        <f>_xlfn.XLOOKUP(Data15272025121621[[#This Row],[کد ملی]],emp_info[کد ملی],emp_info[نام  پدر],"یافت نشد")</f>
        <v>حکمت الله</v>
      </c>
      <c r="BU21" s="116">
        <f>_xlfn.XLOOKUP(Data15272025121621[[#This Row],[کد ملی]],emp_info[کد ملی],emp_info[شماره شناسنامه],"یافت نشد")</f>
        <v>2380027341</v>
      </c>
      <c r="BV21" s="116" t="str">
        <f>_xlfn.XLOOKUP(Data15272025121621[[#This Row],[کد ملی]],emp_info[کد ملی],emp_info[محل صدور],"یافت نشد")</f>
        <v>نوراباد</v>
      </c>
      <c r="BW21" s="116">
        <f>_xlfn.XLOOKUP(Data15272025121621[[#This Row],[کد ملی]],emp_info[کد ملی],emp_info[تاریخ صدور],"یافت نشد")</f>
        <v>0</v>
      </c>
      <c r="BX21" s="116">
        <f>_xlfn.XLOOKUP(Data15272025121621[[#This Row],[کد ملی]],emp_info[کد ملی],emp_info[تاریخ تولد],"یافت نشد")</f>
        <v>13680608</v>
      </c>
      <c r="BY21" s="116" t="str">
        <f>_xlfn.XLOOKUP(Data15272025121621[[#This Row],[کد ملی]],emp_info[کد ملی],emp_info[جنسیت],"یافت نشد")</f>
        <v>مرد</v>
      </c>
      <c r="BZ21" s="116" t="s">
        <v>122</v>
      </c>
      <c r="CA21" s="116" t="str">
        <f>_xlfn.XLOOKUP(Data15272025121621[[#This Row],[کد ملی]],emp_info[کد ملی],emp_info[سمت شغل],"یافت نشد")</f>
        <v>کمک انباردار</v>
      </c>
      <c r="CB21" s="116">
        <f>_xlfn.XLOOKUP(Data15272025121621[[#This Row],[کد ملی]],emp_info[کد ملی],emp_info[تاریخ شروع به کار],"یافت نشد")</f>
        <v>14040901</v>
      </c>
      <c r="CC21" s="118">
        <f>_xlfn.XLOOKUP(Data15272025121621[[#This Row],[کد ملی]],emp_info[کد ملی],emp_info[ [ تاریخ پایان کار] ],"یافت نشد")</f>
        <v>0</v>
      </c>
      <c r="CD21" s="118">
        <f>Data15272025121621[[#This Row],[روز بیمه]]</f>
        <v>31</v>
      </c>
      <c r="CE21" s="118">
        <f>Data15272025121621[[#This Row],[مزد روزانه ]]</f>
        <v>5867844</v>
      </c>
      <c r="CF21" s="118">
        <f>Data15272025121621[[#This Row],[حقوق پایه]]</f>
        <v>181903164</v>
      </c>
      <c r="CG21" s="118">
        <f>Data15272025121621[[#This Row],[ مزایا مشمول]]</f>
        <v>258696177</v>
      </c>
      <c r="CH21" s="118">
        <f>Data15272025121621[[#This Row],[جمع حقوق و مزایا مشمول بیمه]]</f>
        <v>440599341</v>
      </c>
      <c r="CI21" s="117">
        <f>Data15272025121621[[#This Row],[حقوق ناخالص]]</f>
        <v>691304348</v>
      </c>
      <c r="CJ21" s="117">
        <f>Data15272025121621[[#This Row],[بیمه سهم کارگر]]</f>
        <v>30841954</v>
      </c>
      <c r="CK21" s="116">
        <v>10</v>
      </c>
      <c r="CL21" s="116" t="str">
        <f>TEXT(_xlfn.XLOOKUP(Data15272025121621[[#This Row],[کد ملی]],emp_info[کد ملی],emp_info[کد شغل],"یافت نشد"),"000000")</f>
        <v>024109</v>
      </c>
      <c r="CM21" s="116">
        <f>Data15272025121621[[#This Row],[کد ملی]]</f>
        <v>2380027341</v>
      </c>
      <c r="CN21" s="116">
        <f>Data15272025121621[[#This Row],[پایه سنواتی]]*Data15272025121621[[#This Row],[تعداد سال کارکرد]]</f>
        <v>0</v>
      </c>
      <c r="CO21" s="117">
        <f>Data15272025121621[[#This Row],[حق تاهل]]</f>
        <v>0</v>
      </c>
    </row>
    <row r="22" spans="1:93" ht="24.95" customHeight="1">
      <c r="A22" s="140" t="str">
        <f>_xlfn.XLOOKUP(Data15272025121621[[#This Row],[کد ملی]],emp_info[کد ملی],emp_info[گروه])</f>
        <v>شاغل</v>
      </c>
      <c r="B22" s="121">
        <f>ROWS($A$1:A16)</f>
        <v>16</v>
      </c>
      <c r="C22" s="121">
        <f>_xlfn.XLOOKUP(Data15272025121621[[#This Row],[کد ملی]],emp_info[کد ملی],emp_info[maliat])</f>
        <v>1</v>
      </c>
      <c r="D22" s="121">
        <f>_xlfn.XLOOKUP(Data15272025121621[[#This Row],[کد ملی]],emp_info[کد ملی],emp_info[بیمه])</f>
        <v>1</v>
      </c>
      <c r="E22" s="121">
        <f>_xlfn.XLOOKUP(Data15272025121621[[#This Row],[کد ملی]],emp_info[کد ملی],emp_info[bank])</f>
        <v>1</v>
      </c>
      <c r="F22" s="5">
        <v>2391184034</v>
      </c>
      <c r="G22" s="47" t="str">
        <f>_xlfn.XLOOKUP(Data15272025121621[[#This Row],[کد ملی]],emp_info[کد ملی],emp_info[نام])&amp;" "&amp;_xlfn.XLOOKUP(Data15272025121621[[#This Row],[کد ملی]],emp_info[کد ملی],emp_info[نام خانوادگی])</f>
        <v>پرويز شهرياري فهلياني</v>
      </c>
      <c r="H22" s="47" t="str">
        <f>_xlfn.XLOOKUP(Data15272025121621[[#This Row],[کد ملی]],emp_info[کد ملی],emp_info[وضعیت تاهل],"یافت نشد")</f>
        <v>متاهل</v>
      </c>
      <c r="I22" s="47">
        <f>_xlfn.XLOOKUP(Data15272025121621[[#This Row],[کد ملی]],emp_info[کد ملی],emp_info[تعداد فرزند],"یافت نشد")</f>
        <v>2</v>
      </c>
      <c r="J22" s="47">
        <f>_xlfn.XLOOKUP(Data15272025121621[[#This Row],[کد ملی]],emp_info[کد ملی],emp_info[ساعت کار قرارداد شده],"یافت نشد")</f>
        <v>230</v>
      </c>
      <c r="K22" s="53">
        <f>_xlfn.XLOOKUP(Data15272025121621[[#This Row],[کد ملی]],emp_info[کد ملی],emp_info[حقوق قرارداد شده],"یافت نشد")</f>
        <v>500000000</v>
      </c>
      <c r="L22" s="47">
        <f>_xlfn.XLOOKUP(Data15272025121621[[#This Row],[کد ملی]],emp_info[کد ملی],emp_info[گروه شغلی],"یافت نشد")</f>
        <v>10</v>
      </c>
      <c r="M22" s="48">
        <f>_xlfn.XLOOKUP(Data15272025121621[[#This Row],[کد ملی]],emp_info[کد ملی],emp_info[[مزد روزانه ]],"یافت نشد")</f>
        <v>5867844</v>
      </c>
      <c r="N22" s="47">
        <f>_xlfn.XLOOKUP(Data15272025121621[[#This Row],[کد ملی]],emp_info[کد ملی],emp_info[پایه سنواتی],"یافت نشد")</f>
        <v>168467</v>
      </c>
      <c r="O22" s="47">
        <f>_xlfn.XLOOKUP(Data15272025121621[[#This Row],[کد ملی]],emp_info[کد ملی],emp_info[تعداد سال کارکرد],"یافت نشد")</f>
        <v>0</v>
      </c>
      <c r="P22" s="47">
        <f>_xlfn.XLOOKUP(Data15272025121621[[#This Row],[کد ملی]],emp_info[کد ملی],emp_info[مزد مبنا],"یافت نشد")</f>
        <v>5867844</v>
      </c>
      <c r="Q22" s="47">
        <v>270</v>
      </c>
      <c r="R22" s="47">
        <v>31</v>
      </c>
      <c r="S22" s="47">
        <v>0</v>
      </c>
      <c r="T22" s="47">
        <v>0</v>
      </c>
      <c r="U22" s="49">
        <f>TRUNC(Data15272025121621[[#This Row],[حق ماموریت]]/Data15272025121621[[#This Row],[مزد مبنا]])</f>
        <v>9</v>
      </c>
      <c r="V22" s="47">
        <v>0</v>
      </c>
      <c r="W22" s="53">
        <v>0</v>
      </c>
      <c r="X22" s="53">
        <v>0</v>
      </c>
      <c r="Y22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2" s="53">
        <v>135396715</v>
      </c>
      <c r="AA22" s="49" cm="1">
        <f t="array" ref="AA22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80996369</v>
      </c>
      <c r="AB22" s="49" cm="1">
        <f t="array" ref="AB22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54400346</v>
      </c>
      <c r="AC22" s="53" cm="1">
        <f t="array" ref="AC22">ROUND(5*Data15272025121621[[#This Row],[مزد مبنا]]*(Data15272025121621[[#This Row],[روز بیمه]]/list_info302332152027[تعداد روز ماه]),0)</f>
        <v>29339220</v>
      </c>
      <c r="AD22" s="53">
        <f>ROUND(2.5*(Data15272025121621[[#This Row],[پایه سنواتی]]+Data15272025121621[[#This Row],[مزد روزانه ]])*0,0)</f>
        <v>0</v>
      </c>
      <c r="AE22" s="48" cm="1">
        <f t="array" ref="AE22">ROUND(22000000*Data15272025121621[[#This Row],[روز بیمه]]/list_info302332152027[تعداد روز ماه],0)</f>
        <v>22000000</v>
      </c>
      <c r="AF22" s="48" cm="1">
        <f t="array" ref="AF22">ROUND(list_info302332152027[حق مسکن]*Data15272025121621[[#This Row],[روز بیمه]]/list_info302332152027[تعداد روز ماه],0)</f>
        <v>30000000</v>
      </c>
      <c r="AG22" s="47" cm="1">
        <f t="array" ref="AG22">ROUND(IF(Data15272025121621[[#This Row],[وضعیت تاهل]]="متاهل",list_info302332152027[حق تاهل],0)*Data15272025121621[[#This Row],[روز بیمه]]/list_info302332152027[تعداد روز ماه],0)</f>
        <v>5000000</v>
      </c>
      <c r="AH22" s="47" cm="1">
        <f t="array" ref="AH22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2" s="57" cm="1">
        <f t="array" ref="AI22">list_info302332152027[[درصد فوق العاده جذب تخصصی ماهیانه ]]*Data15272025121621[[#This Row],[مزد روزانه ]]*Data15272025121621[[#This Row],[روز بیمه]]</f>
        <v>0</v>
      </c>
      <c r="AJ22" s="57" cm="1">
        <f t="array" ref="AJ22">list_info302332152027[درصد فوق العاده بدی آب و هوا]*Data15272025121621[[#This Row],[مزد روزانه ]]*Data15272025121621[[#This Row],[روز بیمه]]</f>
        <v>0</v>
      </c>
      <c r="AK22" s="57" cm="1">
        <f t="array" ref="AK22">list_info302332152027[[فوق العاده جذب تخصصی دوری از خانواده ]]*Data15272025121621[[#This Row],[مزد روزانه ]]*Data15272025121621[[#This Row],[روز بیمه]]</f>
        <v>0</v>
      </c>
      <c r="AL22" s="57" cm="1">
        <f t="array" ref="AL22">list_info302332152027[فوق العاده پارس جنوبی]*Data15272025121621[[#This Row],[مزد روزانه ]]*Data15272025121621[[#This Row],[روز بیمه]]</f>
        <v>0</v>
      </c>
      <c r="AM22" s="53" cm="1">
        <f t="array" ref="AM22">ROUND((Data15272025121621[[#This Row],[روز بیمه]]/list_info302332152027[تعداد روز ماه])*Data15272025121621[[#This Row],[تعداد فرزند]]*list_info302332152027[حق اولاد],0)</f>
        <v>33251098</v>
      </c>
      <c r="AN22" s="53" cm="1">
        <f t="array" ref="AN22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2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192396715</v>
      </c>
      <c r="AP22" s="48">
        <f>ROUND(Data15272025121621[[#This Row],[سایر مزایا]]+Data15272025121621[[#This Row],[اضافه کار]]+Data15272025121621[[#This Row],[جمعه کاری]],0)</f>
        <v>135396715</v>
      </c>
      <c r="AQ22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90251098</v>
      </c>
      <c r="AR22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212656643</v>
      </c>
      <c r="AS22" s="47">
        <f>Data15272025121621[[#This Row],[روز بیمه]]*Data15272025121621[[#This Row],[پایه سنواتی]]*Data15272025121621[[#This Row],[تعداد سال کارکرد]]</f>
        <v>0</v>
      </c>
      <c r="AT22" s="53">
        <f>ROUND(Data15272025121621[[#This Row],[جمع حقوق و مزایا مشمول بیمه]]*0.07,0)</f>
        <v>26200992</v>
      </c>
      <c r="AU22" s="53">
        <f>ROUND(Data15272025121621[[#This Row],[جمع حقوق و مزایا مشمول بیمه]]*0.2,0)</f>
        <v>74859976</v>
      </c>
      <c r="AV22" s="53">
        <f>ROUND(Data15272025121621[[#This Row],[جمع حقوق و مزایا مشمول بیمه]]*0.03,0)</f>
        <v>11228996</v>
      </c>
      <c r="AW22" s="53">
        <f>Data15272025121621[[#This Row],[بیمه بیکاری]]+Data15272025121621[[#This Row],[بیمه سهم کارفرما]]+Data15272025121621[[#This Row],[بیمه سهم کارگر]]</f>
        <v>112289964</v>
      </c>
      <c r="AX22" s="48">
        <f>Data15272025121621[[#This Row],[روز بیمه]]*Data15272025121621[[#This Row],[مزد مبنا]]</f>
        <v>181903164</v>
      </c>
      <c r="AY22" s="48">
        <f>Data15272025121621[[#This Row],[حقوق پایه]]+Data15272025121621[[#This Row],[مزایا مستمر مشمول مالیات]]</f>
        <v>272154262</v>
      </c>
      <c r="AZ22" s="49">
        <f>(Data15272025121621[[#This Row],[حقوق پایه]]+Data15272025121621[[#This Row],[ مزایا مشمول]])*Data15272025121621[[#This Row],[بیمه]]</f>
        <v>374299879</v>
      </c>
      <c r="BA22" s="54">
        <f>ROUND(((Data15272025121621[[#This Row],[ساعت کارکرد]]/Data15272025121621[[#This Row],[کارکرد قرارداد شده]])*Data15272025121621[[#This Row],[حقوق قرارداد شده]]),0)</f>
        <v>586956522</v>
      </c>
      <c r="BB22" s="54">
        <f>Data15272025121621[[#This Row],[بیمه سهم کارگر]]</f>
        <v>26200992</v>
      </c>
      <c r="BC22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560755529</v>
      </c>
      <c r="BD22" s="125" t="str">
        <f>_xlfn.XLOOKUP(Data15272025121621[[#This Row],[کد ملی]],emp_info[کد ملی],emp_info[شماره حساب])</f>
        <v>0307930674006</v>
      </c>
      <c r="BE22" s="50">
        <f>TRUNC(Data15272025121621[[#This Row],[حقوق خالص]]-Data15272025121621[[#This Row],[کسر مساعده]])</f>
        <v>560755529</v>
      </c>
      <c r="BF22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2" s="2">
        <v>161992739</v>
      </c>
      <c r="BI22" s="2">
        <v>108800691</v>
      </c>
      <c r="BJ22" s="20">
        <f t="shared" si="0"/>
        <v>135396715</v>
      </c>
      <c r="BL22" s="2">
        <f>Data15272025121621[[#This Row],[بیمه]]</f>
        <v>1</v>
      </c>
      <c r="BM22" s="114" t="str" cm="1">
        <f t="array" ref="BM22">DSKKAR1817292231141823[DSK_ID]</f>
        <v>4894290013</v>
      </c>
      <c r="BN22" s="115" t="str" cm="1">
        <f t="array" ref="BN22">DSKKAR1817292231141823[DSK_YY]</f>
        <v>05</v>
      </c>
      <c r="BO22" s="115" t="str" cm="1">
        <f t="array" ref="BO22">DSKKAR1817292231141823[DSK_MM]</f>
        <v>04</v>
      </c>
      <c r="BP22" s="116" t="str" cm="1">
        <f t="array" ref="BP22">DSKKAR1817292231141823[DSK_LISTNO]</f>
        <v>01</v>
      </c>
      <c r="BQ22" s="117">
        <f>_xlfn.XLOOKUP(Data15272025121621[[#This Row],[کد ملی]],emp_info[کد ملی],emp_info[شماره بیمه],"یافت نشد")</f>
        <v>63285233</v>
      </c>
      <c r="BR22" s="116" t="str">
        <f>_xlfn.XLOOKUP(Data15272025121621[[#This Row],[کد ملی]],emp_info[کد ملی],emp_info[نام],"یافت نشد")</f>
        <v>پرويز</v>
      </c>
      <c r="BS22" s="116" t="str">
        <f>_xlfn.XLOOKUP(Data15272025121621[[#This Row],[کد ملی]],emp_info[کد ملی],emp_info[نام خانوادگی],"یافت نشد")</f>
        <v>شهرياري فهلياني</v>
      </c>
      <c r="BT22" s="116" t="str">
        <f>_xlfn.XLOOKUP(Data15272025121621[[#This Row],[کد ملی]],emp_info[کد ملی],emp_info[نام  پدر],"یافت نشد")</f>
        <v>آزاد</v>
      </c>
      <c r="BU22" s="116">
        <f>_xlfn.XLOOKUP(Data15272025121621[[#This Row],[کد ملی]],emp_info[کد ملی],emp_info[شماره شناسنامه],"یافت نشد")</f>
        <v>1442</v>
      </c>
      <c r="BV22" s="116" t="str">
        <f>_xlfn.XLOOKUP(Data15272025121621[[#This Row],[کد ملی]],emp_info[کد ملی],emp_info[محل صدور],"یافت نشد")</f>
        <v>ممسنی</v>
      </c>
      <c r="BW22" s="116">
        <f>_xlfn.XLOOKUP(Data15272025121621[[#This Row],[کد ملی]],emp_info[کد ملی],emp_info[تاریخ صدور],"یافت نشد")</f>
        <v>0</v>
      </c>
      <c r="BX22" s="116">
        <f>_xlfn.XLOOKUP(Data15272025121621[[#This Row],[کد ملی]],emp_info[کد ملی],emp_info[تاریخ تولد],"یافت نشد")</f>
        <v>13480403</v>
      </c>
      <c r="BY22" s="116" t="str">
        <f>_xlfn.XLOOKUP(Data15272025121621[[#This Row],[کد ملی]],emp_info[کد ملی],emp_info[جنسیت],"یافت نشد")</f>
        <v>مرد</v>
      </c>
      <c r="BZ22" s="116" t="s">
        <v>122</v>
      </c>
      <c r="CA22" s="116" t="str">
        <f>_xlfn.XLOOKUP(Data15272025121621[[#This Row],[کد ملی]],emp_info[کد ملی],emp_info[سمت شغل],"یافت نشد")</f>
        <v>انباردار</v>
      </c>
      <c r="CB22" s="116">
        <f>_xlfn.XLOOKUP(Data15272025121621[[#This Row],[کد ملی]],emp_info[کد ملی],emp_info[تاریخ شروع به کار],"یافت نشد")</f>
        <v>14040901</v>
      </c>
      <c r="CC22" s="118">
        <f>_xlfn.XLOOKUP(Data15272025121621[[#This Row],[کد ملی]],emp_info[کد ملی],emp_info[ [ تاریخ پایان کار] ],"یافت نشد")</f>
        <v>0</v>
      </c>
      <c r="CD22" s="118">
        <f>Data15272025121621[[#This Row],[روز بیمه]]</f>
        <v>31</v>
      </c>
      <c r="CE22" s="118">
        <f>Data15272025121621[[#This Row],[مزد روزانه ]]</f>
        <v>5867844</v>
      </c>
      <c r="CF22" s="118">
        <f>Data15272025121621[[#This Row],[حقوق پایه]]</f>
        <v>181903164</v>
      </c>
      <c r="CG22" s="118">
        <f>Data15272025121621[[#This Row],[ مزایا مشمول]]</f>
        <v>192396715</v>
      </c>
      <c r="CH22" s="118">
        <f>Data15272025121621[[#This Row],[جمع حقوق و مزایا مشمول بیمه]]</f>
        <v>374299879</v>
      </c>
      <c r="CI22" s="117">
        <f>Data15272025121621[[#This Row],[حقوق ناخالص]]</f>
        <v>586956522</v>
      </c>
      <c r="CJ22" s="117">
        <f>Data15272025121621[[#This Row],[بیمه سهم کارگر]]</f>
        <v>26200992</v>
      </c>
      <c r="CK22" s="116">
        <v>11</v>
      </c>
      <c r="CL22" s="116" t="str">
        <f>TEXT(_xlfn.XLOOKUP(Data15272025121621[[#This Row],[کد ملی]],emp_info[کد ملی],emp_info[کد شغل],"یافت نشد"),"000000")</f>
        <v>000255</v>
      </c>
      <c r="CM22" s="116">
        <f>Data15272025121621[[#This Row],[کد ملی]]</f>
        <v>2391184034</v>
      </c>
      <c r="CN22" s="116">
        <f>Data15272025121621[[#This Row],[پایه سنواتی]]*Data15272025121621[[#This Row],[تعداد سال کارکرد]]</f>
        <v>0</v>
      </c>
      <c r="CO22" s="117">
        <f>Data15272025121621[[#This Row],[حق تاهل]]</f>
        <v>5000000</v>
      </c>
    </row>
    <row r="23" spans="1:93" ht="24.95" customHeight="1">
      <c r="A23" s="140" t="str">
        <f>_xlfn.XLOOKUP(Data15272025121621[[#This Row],[کد ملی]],emp_info[کد ملی],emp_info[گروه])</f>
        <v>شاغل</v>
      </c>
      <c r="B23" s="121">
        <f>ROWS($A$1:A17)</f>
        <v>17</v>
      </c>
      <c r="C23" s="121">
        <f>_xlfn.XLOOKUP(Data15272025121621[[#This Row],[کد ملی]],emp_info[کد ملی],emp_info[maliat])</f>
        <v>1</v>
      </c>
      <c r="D23" s="121">
        <f>_xlfn.XLOOKUP(Data15272025121621[[#This Row],[کد ملی]],emp_info[کد ملی],emp_info[بیمه])</f>
        <v>1</v>
      </c>
      <c r="E23" s="121">
        <f>_xlfn.XLOOKUP(Data15272025121621[[#This Row],[کد ملی]],emp_info[کد ملی],emp_info[bank])</f>
        <v>1</v>
      </c>
      <c r="F23" s="5">
        <v>1190223074</v>
      </c>
      <c r="G23" s="47" t="str">
        <f>_xlfn.XLOOKUP(Data15272025121621[[#This Row],[کد ملی]],emp_info[کد ملی],emp_info[نام])&amp;" "&amp;_xlfn.XLOOKUP(Data15272025121621[[#This Row],[کد ملی]],emp_info[کد ملی],emp_info[نام خانوادگی])</f>
        <v>علي معيني پور</v>
      </c>
      <c r="H23" s="47" t="str">
        <f>_xlfn.XLOOKUP(Data15272025121621[[#This Row],[کد ملی]],emp_info[کد ملی],emp_info[وضعیت تاهل],"یافت نشد")</f>
        <v>مجرد</v>
      </c>
      <c r="I23" s="47">
        <f>_xlfn.XLOOKUP(Data15272025121621[[#This Row],[کد ملی]],emp_info[کد ملی],emp_info[تعداد فرزند],"یافت نشد")</f>
        <v>0</v>
      </c>
      <c r="J23" s="47">
        <f>_xlfn.XLOOKUP(Data15272025121621[[#This Row],[کد ملی]],emp_info[کد ملی],emp_info[ساعت کار قرارداد شده],"یافت نشد")</f>
        <v>230</v>
      </c>
      <c r="K23" s="53">
        <f>_xlfn.XLOOKUP(Data15272025121621[[#This Row],[کد ملی]],emp_info[کد ملی],emp_info[حقوق قرارداد شده],"یافت نشد")</f>
        <v>420000000</v>
      </c>
      <c r="L23" s="47">
        <f>_xlfn.XLOOKUP(Data15272025121621[[#This Row],[کد ملی]],emp_info[کد ملی],emp_info[گروه شغلی],"یافت نشد")</f>
        <v>7</v>
      </c>
      <c r="M23" s="48">
        <f>_xlfn.XLOOKUP(Data15272025121621[[#This Row],[کد ملی]],emp_info[کد ملی],emp_info[[مزد روزانه ]],"یافت نشد")</f>
        <v>5726874</v>
      </c>
      <c r="N23" s="47">
        <f>_xlfn.XLOOKUP(Data15272025121621[[#This Row],[کد ملی]],emp_info[کد ملی],emp_info[پایه سنواتی],"یافت نشد")</f>
        <v>167867</v>
      </c>
      <c r="O23" s="47">
        <f>_xlfn.XLOOKUP(Data15272025121621[[#This Row],[کد ملی]],emp_info[کد ملی],emp_info[تعداد سال کارکرد],"یافت نشد")</f>
        <v>0</v>
      </c>
      <c r="P23" s="47">
        <f>_xlfn.XLOOKUP(Data15272025121621[[#This Row],[کد ملی]],emp_info[کد ملی],emp_info[مزد مبنا],"یافت نشد")</f>
        <v>5726874</v>
      </c>
      <c r="Q23" s="47">
        <v>218</v>
      </c>
      <c r="R23" s="47">
        <v>31</v>
      </c>
      <c r="S23" s="47">
        <v>0</v>
      </c>
      <c r="T23" s="47">
        <v>0</v>
      </c>
      <c r="U23" s="49">
        <f>TRUNC(Data15272025121621[[#This Row],[حق ماموریت]]/Data15272025121621[[#This Row],[مزد مبنا]])</f>
        <v>4</v>
      </c>
      <c r="V23" s="47">
        <v>0</v>
      </c>
      <c r="W23" s="53">
        <v>0</v>
      </c>
      <c r="X23" s="53">
        <v>0</v>
      </c>
      <c r="Y23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3" s="53">
        <v>62801154</v>
      </c>
      <c r="AA23" s="49" cm="1">
        <f t="array" ref="AA23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37934770</v>
      </c>
      <c r="AB23" s="49" cm="1">
        <f t="array" ref="AB23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24866384</v>
      </c>
      <c r="AC23" s="53" cm="1">
        <f t="array" ref="AC23">ROUND(5*Data15272025121621[[#This Row],[مزد مبنا]]*(Data15272025121621[[#This Row],[روز بیمه]]/list_info302332152027[تعداد روز ماه]),0)</f>
        <v>28634370</v>
      </c>
      <c r="AD23" s="53">
        <f>ROUND(2.5*(Data15272025121621[[#This Row],[پایه سنواتی]]+Data15272025121621[[#This Row],[مزد روزانه ]])*0,0)</f>
        <v>0</v>
      </c>
      <c r="AE23" s="48" cm="1">
        <f t="array" ref="AE23">ROUND(22000000*Data15272025121621[[#This Row],[روز بیمه]]/list_info302332152027[تعداد روز ماه],0)</f>
        <v>22000000</v>
      </c>
      <c r="AF23" s="48" cm="1">
        <f t="array" ref="AF23">ROUND(list_info302332152027[حق مسکن]*Data15272025121621[[#This Row],[روز بیمه]]/list_info302332152027[تعداد روز ماه],0)</f>
        <v>30000000</v>
      </c>
      <c r="AG23" s="47" cm="1">
        <f t="array" ref="AG23">ROUND(IF(Data15272025121621[[#This Row],[وضعیت تاهل]]="متاهل",list_info302332152027[حق تاهل],0)*Data15272025121621[[#This Row],[روز بیمه]]/list_info302332152027[تعداد روز ماه],0)</f>
        <v>0</v>
      </c>
      <c r="AH23" s="47" cm="1">
        <f t="array" ref="AH23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3" s="57" cm="1">
        <f t="array" ref="AI23">list_info302332152027[[درصد فوق العاده جذب تخصصی ماهیانه ]]*Data15272025121621[[#This Row],[مزد روزانه ]]*Data15272025121621[[#This Row],[روز بیمه]]</f>
        <v>0</v>
      </c>
      <c r="AJ23" s="57" cm="1">
        <f t="array" ref="AJ23">list_info302332152027[درصد فوق العاده بدی آب و هوا]*Data15272025121621[[#This Row],[مزد روزانه ]]*Data15272025121621[[#This Row],[روز بیمه]]</f>
        <v>0</v>
      </c>
      <c r="AK23" s="57" cm="1">
        <f t="array" ref="AK23">list_info302332152027[[فوق العاده جذب تخصصی دوری از خانواده ]]*Data15272025121621[[#This Row],[مزد روزانه ]]*Data15272025121621[[#This Row],[روز بیمه]]</f>
        <v>0</v>
      </c>
      <c r="AL23" s="57" cm="1">
        <f t="array" ref="AL23">list_info302332152027[فوق العاده پارس جنوبی]*Data15272025121621[[#This Row],[مزد روزانه ]]*Data15272025121621[[#This Row],[روز بیمه]]</f>
        <v>0</v>
      </c>
      <c r="AM23" s="53" cm="1">
        <f t="array" ref="AM23">ROUND((Data15272025121621[[#This Row],[روز بیمه]]/list_info302332152027[تعداد روز ماه])*Data15272025121621[[#This Row],[تعداد فرزند]]*list_info302332152027[حق اولاد],0)</f>
        <v>0</v>
      </c>
      <c r="AN23" s="53" cm="1">
        <f t="array" ref="AN23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14317185</v>
      </c>
      <c r="AO23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114801154</v>
      </c>
      <c r="AP23" s="48">
        <f>ROUND(Data15272025121621[[#This Row],[سایر مزایا]]+Data15272025121621[[#This Row],[اضافه کار]]+Data15272025121621[[#This Row],[جمعه کاری]],0)</f>
        <v>62801154</v>
      </c>
      <c r="AQ23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23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105752709</v>
      </c>
      <c r="AS23" s="47">
        <f>Data15272025121621[[#This Row],[روز بیمه]]*Data15272025121621[[#This Row],[پایه سنواتی]]*Data15272025121621[[#This Row],[تعداد سال کارکرد]]</f>
        <v>0</v>
      </c>
      <c r="AT23" s="53">
        <f>ROUND(Data15272025121621[[#This Row],[جمع حقوق و مزایا مشمول بیمه]]*0.07,0)</f>
        <v>20463397</v>
      </c>
      <c r="AU23" s="53">
        <f>ROUND(Data15272025121621[[#This Row],[جمع حقوق و مزایا مشمول بیمه]]*0.2,0)</f>
        <v>58466850</v>
      </c>
      <c r="AV23" s="53">
        <f>ROUND(Data15272025121621[[#This Row],[جمع حقوق و مزایا مشمول بیمه]]*0.03,0)</f>
        <v>8770027</v>
      </c>
      <c r="AW23" s="53">
        <f>Data15272025121621[[#This Row],[بیمه بیکاری]]+Data15272025121621[[#This Row],[بیمه سهم کارفرما]]+Data15272025121621[[#This Row],[بیمه سهم کارگر]]</f>
        <v>87700274</v>
      </c>
      <c r="AX23" s="48">
        <f>Data15272025121621[[#This Row],[روز بیمه]]*Data15272025121621[[#This Row],[مزد مبنا]]</f>
        <v>177533094</v>
      </c>
      <c r="AY23" s="48">
        <f>Data15272025121621[[#This Row],[حقوق پایه]]+Data15272025121621[[#This Row],[مزایا مستمر مشمول مالیات]]</f>
        <v>229533094</v>
      </c>
      <c r="AZ23" s="49">
        <f>(Data15272025121621[[#This Row],[حقوق پایه]]+Data15272025121621[[#This Row],[ مزایا مشمول]])*Data15272025121621[[#This Row],[بیمه]]</f>
        <v>292334248</v>
      </c>
      <c r="BA23" s="54">
        <f>ROUND(((Data15272025121621[[#This Row],[ساعت کارکرد]]/Data15272025121621[[#This Row],[کارکرد قرارداد شده]])*Data15272025121621[[#This Row],[حقوق قرارداد شده]]),0)</f>
        <v>398086957</v>
      </c>
      <c r="BB23" s="54">
        <f>Data15272025121621[[#This Row],[بیمه سهم کارگر]]</f>
        <v>20463397</v>
      </c>
      <c r="BC23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377623559</v>
      </c>
      <c r="BD23" s="125" t="str">
        <f>_xlfn.XLOOKUP(Data15272025121621[[#This Row],[کد ملی]],emp_info[کد ملی],emp_info[شماره حساب])</f>
        <v>0115729772005</v>
      </c>
      <c r="BE23" s="50">
        <f>TRUNC(Data15272025121621[[#This Row],[حقوق خالص]]-Data15272025121621[[#This Row],[کسر مساعده]])</f>
        <v>377623559</v>
      </c>
      <c r="BF23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3" s="2">
        <v>75869540</v>
      </c>
      <c r="BI23" s="2">
        <v>49732768</v>
      </c>
      <c r="BJ23" s="20">
        <f t="shared" si="0"/>
        <v>62801154</v>
      </c>
      <c r="BL23" s="2">
        <f>Data15272025121621[[#This Row],[بیمه]]</f>
        <v>1</v>
      </c>
      <c r="BM23" s="114" t="str" cm="1">
        <f t="array" ref="BM23">DSKKAR1817292231141823[DSK_ID]</f>
        <v>4894290013</v>
      </c>
      <c r="BN23" s="115" t="str" cm="1">
        <f t="array" ref="BN23">DSKKAR1817292231141823[DSK_YY]</f>
        <v>05</v>
      </c>
      <c r="BO23" s="115" t="str" cm="1">
        <f t="array" ref="BO23">DSKKAR1817292231141823[DSK_MM]</f>
        <v>04</v>
      </c>
      <c r="BP23" s="116" t="str" cm="1">
        <f t="array" ref="BP23">DSKKAR1817292231141823[DSK_LISTNO]</f>
        <v>01</v>
      </c>
      <c r="BQ23" s="117">
        <f>_xlfn.XLOOKUP(Data15272025121621[[#This Row],[کد ملی]],emp_info[کد ملی],emp_info[شماره بیمه],"یافت نشد")</f>
        <v>54572824</v>
      </c>
      <c r="BR23" s="116" t="str">
        <f>_xlfn.XLOOKUP(Data15272025121621[[#This Row],[کد ملی]],emp_info[کد ملی],emp_info[نام],"یافت نشد")</f>
        <v>علي</v>
      </c>
      <c r="BS23" s="116" t="str">
        <f>_xlfn.XLOOKUP(Data15272025121621[[#This Row],[کد ملی]],emp_info[کد ملی],emp_info[نام خانوادگی],"یافت نشد")</f>
        <v>معيني پور</v>
      </c>
      <c r="BT23" s="116" t="str">
        <f>_xlfn.XLOOKUP(Data15272025121621[[#This Row],[کد ملی]],emp_info[کد ملی],emp_info[نام  پدر],"یافت نشد")</f>
        <v>محمد حسن</v>
      </c>
      <c r="BU23" s="116">
        <f>_xlfn.XLOOKUP(Data15272025121621[[#This Row],[کد ملی]],emp_info[کد ملی],emp_info[شماره شناسنامه],"یافت نشد")</f>
        <v>1190223074</v>
      </c>
      <c r="BV23" s="116" t="str">
        <f>_xlfn.XLOOKUP(Data15272025121621[[#This Row],[کد ملی]],emp_info[کد ملی],emp_info[محل صدور],"یافت نشد")</f>
        <v>شهرضا</v>
      </c>
      <c r="BW23" s="116">
        <f>_xlfn.XLOOKUP(Data15272025121621[[#This Row],[کد ملی]],emp_info[کد ملی],emp_info[تاریخ صدور],"یافت نشد")</f>
        <v>0</v>
      </c>
      <c r="BX23" s="116">
        <f>_xlfn.XLOOKUP(Data15272025121621[[#This Row],[کد ملی]],emp_info[کد ملی],emp_info[تاریخ تولد],"یافت نشد")</f>
        <v>13761020</v>
      </c>
      <c r="BY23" s="116" t="str">
        <f>_xlfn.XLOOKUP(Data15272025121621[[#This Row],[کد ملی]],emp_info[کد ملی],emp_info[جنسیت],"یافت نشد")</f>
        <v>مرد</v>
      </c>
      <c r="BZ23" s="116" t="s">
        <v>122</v>
      </c>
      <c r="CA23" s="116" t="str">
        <f>_xlfn.XLOOKUP(Data15272025121621[[#This Row],[کد ملی]],emp_info[کد ملی],emp_info[سمت شغل],"یافت نشد")</f>
        <v>کمک انباردار</v>
      </c>
      <c r="CB23" s="116">
        <f>_xlfn.XLOOKUP(Data15272025121621[[#This Row],[کد ملی]],emp_info[کد ملی],emp_info[تاریخ شروع به کار],"یافت نشد")</f>
        <v>14040901</v>
      </c>
      <c r="CC23" s="118">
        <f>_xlfn.XLOOKUP(Data15272025121621[[#This Row],[کد ملی]],emp_info[کد ملی],emp_info[ [ تاریخ پایان کار] ],"یافت نشد")</f>
        <v>0</v>
      </c>
      <c r="CD23" s="118">
        <f>Data15272025121621[[#This Row],[روز بیمه]]</f>
        <v>31</v>
      </c>
      <c r="CE23" s="118">
        <f>Data15272025121621[[#This Row],[مزد روزانه ]]</f>
        <v>5726874</v>
      </c>
      <c r="CF23" s="118">
        <f>Data15272025121621[[#This Row],[حقوق پایه]]</f>
        <v>177533094</v>
      </c>
      <c r="CG23" s="118">
        <f>Data15272025121621[[#This Row],[ مزایا مشمول]]</f>
        <v>114801154</v>
      </c>
      <c r="CH23" s="118">
        <f>Data15272025121621[[#This Row],[جمع حقوق و مزایا مشمول بیمه]]</f>
        <v>292334248</v>
      </c>
      <c r="CI23" s="117">
        <f>Data15272025121621[[#This Row],[حقوق ناخالص]]</f>
        <v>398086957</v>
      </c>
      <c r="CJ23" s="117">
        <f>Data15272025121621[[#This Row],[بیمه سهم کارگر]]</f>
        <v>20463397</v>
      </c>
      <c r="CK23" s="116">
        <v>12</v>
      </c>
      <c r="CL23" s="116" t="str">
        <f>TEXT(_xlfn.XLOOKUP(Data15272025121621[[#This Row],[کد ملی]],emp_info[کد ملی],emp_info[کد شغل],"یافت نشد"),"000000")</f>
        <v>024109</v>
      </c>
      <c r="CM23" s="116">
        <f>Data15272025121621[[#This Row],[کد ملی]]</f>
        <v>1190223074</v>
      </c>
      <c r="CN23" s="116">
        <f>Data15272025121621[[#This Row],[پایه سنواتی]]*Data15272025121621[[#This Row],[تعداد سال کارکرد]]</f>
        <v>0</v>
      </c>
      <c r="CO23" s="117">
        <f>Data15272025121621[[#This Row],[حق تاهل]]</f>
        <v>0</v>
      </c>
    </row>
    <row r="24" spans="1:93" ht="24.95" customHeight="1">
      <c r="A24" s="140" t="str">
        <f>_xlfn.XLOOKUP(Data15272025121621[[#This Row],[کد ملی]],emp_info[کد ملی],emp_info[گروه])</f>
        <v>شاغل</v>
      </c>
      <c r="B24" s="121">
        <f>ROWS($A$1:A18)</f>
        <v>18</v>
      </c>
      <c r="C24" s="121">
        <f>_xlfn.XLOOKUP(Data15272025121621[[#This Row],[کد ملی]],emp_info[کد ملی],emp_info[maliat])</f>
        <v>1</v>
      </c>
      <c r="D24" s="121">
        <f>_xlfn.XLOOKUP(Data15272025121621[[#This Row],[کد ملی]],emp_info[کد ملی],emp_info[بیمه])</f>
        <v>1</v>
      </c>
      <c r="E24" s="121">
        <f>_xlfn.XLOOKUP(Data15272025121621[[#This Row],[کد ملی]],emp_info[کد ملی],emp_info[bank])</f>
        <v>1</v>
      </c>
      <c r="F24" s="5">
        <v>6790079440</v>
      </c>
      <c r="G24" s="47" t="str">
        <f>_xlfn.XLOOKUP(Data15272025121621[[#This Row],[کد ملی]],emp_info[کد ملی],emp_info[نام])&amp;" "&amp;_xlfn.XLOOKUP(Data15272025121621[[#This Row],[کد ملی]],emp_info[کد ملی],emp_info[نام خانوادگی])</f>
        <v>محمد امین محمدی</v>
      </c>
      <c r="H24" s="47" t="str">
        <f>_xlfn.XLOOKUP(Data15272025121621[[#This Row],[کد ملی]],emp_info[کد ملی],emp_info[وضعیت تاهل],"یافت نشد")</f>
        <v>مجرد</v>
      </c>
      <c r="I24" s="47">
        <f>_xlfn.XLOOKUP(Data15272025121621[[#This Row],[کد ملی]],emp_info[کد ملی],emp_info[تعداد فرزند],"یافت نشد")</f>
        <v>0</v>
      </c>
      <c r="J24" s="47">
        <f>_xlfn.XLOOKUP(Data15272025121621[[#This Row],[کد ملی]],emp_info[کد ملی],emp_info[ساعت کار قرارداد شده],"یافت نشد")</f>
        <v>230</v>
      </c>
      <c r="K24" s="53">
        <f>_xlfn.XLOOKUP(Data15272025121621[[#This Row],[کد ملی]],emp_info[کد ملی],emp_info[حقوق قرارداد شده],"یافت نشد")</f>
        <v>600000000</v>
      </c>
      <c r="L24" s="47">
        <f>_xlfn.XLOOKUP(Data15272025121621[[#This Row],[کد ملی]],emp_info[کد ملی],emp_info[گروه شغلی],"یافت نشد")</f>
        <v>10</v>
      </c>
      <c r="M24" s="48">
        <f>_xlfn.XLOOKUP(Data15272025121621[[#This Row],[کد ملی]],emp_info[کد ملی],emp_info[[مزد روزانه ]],"یافت نشد")</f>
        <v>5867844</v>
      </c>
      <c r="N24" s="47">
        <f>_xlfn.XLOOKUP(Data15272025121621[[#This Row],[کد ملی]],emp_info[کد ملی],emp_info[پایه سنواتی],"یافت نشد")</f>
        <v>168467</v>
      </c>
      <c r="O24" s="47">
        <f>_xlfn.XLOOKUP(Data15272025121621[[#This Row],[کد ملی]],emp_info[کد ملی],emp_info[تعداد سال کارکرد],"یافت نشد")</f>
        <v>0</v>
      </c>
      <c r="P24" s="47">
        <f>_xlfn.XLOOKUP(Data15272025121621[[#This Row],[کد ملی]],emp_info[کد ملی],emp_info[مزد مبنا],"یافت نشد")</f>
        <v>5867844</v>
      </c>
      <c r="Q24" s="47">
        <v>332</v>
      </c>
      <c r="R24" s="47">
        <v>31</v>
      </c>
      <c r="S24" s="47">
        <v>0</v>
      </c>
      <c r="T24" s="47">
        <v>0</v>
      </c>
      <c r="U24" s="49">
        <f>TRUNC(Data15272025121621[[#This Row],[حق ماموریت]]/Data15272025121621[[#This Row],[مزد مبنا]])</f>
        <v>20</v>
      </c>
      <c r="V24" s="47">
        <v>0</v>
      </c>
      <c r="W24" s="53">
        <v>0</v>
      </c>
      <c r="X24" s="53">
        <v>0</v>
      </c>
      <c r="Y24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4" s="53">
        <v>294087481.5</v>
      </c>
      <c r="AA24" s="49" cm="1">
        <f t="array" ref="AA24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175927593</v>
      </c>
      <c r="AB24" s="49" cm="1">
        <f t="array" ref="AB24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118159888</v>
      </c>
      <c r="AC24" s="53" cm="1">
        <f t="array" ref="AC24">ROUND(5*Data15272025121621[[#This Row],[مزد مبنا]]*(Data15272025121621[[#This Row],[روز بیمه]]/list_info302332152027[تعداد روز ماه]),0)</f>
        <v>29339220</v>
      </c>
      <c r="AD24" s="53">
        <f>ROUND(2.5*(Data15272025121621[[#This Row],[پایه سنواتی]]+Data15272025121621[[#This Row],[مزد روزانه ]])*0,0)</f>
        <v>0</v>
      </c>
      <c r="AE24" s="48" cm="1">
        <f t="array" ref="AE24">ROUND(22000000*Data15272025121621[[#This Row],[روز بیمه]]/list_info302332152027[تعداد روز ماه],0)</f>
        <v>22000000</v>
      </c>
      <c r="AF24" s="48" cm="1">
        <f t="array" ref="AF24">ROUND(list_info302332152027[حق مسکن]*Data15272025121621[[#This Row],[روز بیمه]]/list_info302332152027[تعداد روز ماه],0)</f>
        <v>30000000</v>
      </c>
      <c r="AG24" s="47" cm="1">
        <f t="array" ref="AG24">ROUND(IF(Data15272025121621[[#This Row],[وضعیت تاهل]]="متاهل",list_info302332152027[حق تاهل],0)*Data15272025121621[[#This Row],[روز بیمه]]/list_info302332152027[تعداد روز ماه],0)</f>
        <v>0</v>
      </c>
      <c r="AH24" s="47" cm="1">
        <f t="array" ref="AH24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4" s="57" cm="1">
        <f t="array" ref="AI24">list_info302332152027[[درصد فوق العاده جذب تخصصی ماهیانه ]]*Data15272025121621[[#This Row],[مزد روزانه ]]*Data15272025121621[[#This Row],[روز بیمه]]</f>
        <v>0</v>
      </c>
      <c r="AJ24" s="57" cm="1">
        <f t="array" ref="AJ24">list_info302332152027[درصد فوق العاده بدی آب و هوا]*Data15272025121621[[#This Row],[مزد روزانه ]]*Data15272025121621[[#This Row],[روز بیمه]]</f>
        <v>0</v>
      </c>
      <c r="AK24" s="57" cm="1">
        <f t="array" ref="AK24">list_info302332152027[[فوق العاده جذب تخصصی دوری از خانواده ]]*Data15272025121621[[#This Row],[مزد روزانه ]]*Data15272025121621[[#This Row],[روز بیمه]]</f>
        <v>0</v>
      </c>
      <c r="AL24" s="57" cm="1">
        <f t="array" ref="AL24">list_info302332152027[فوق العاده پارس جنوبی]*Data15272025121621[[#This Row],[مزد روزانه ]]*Data15272025121621[[#This Row],[روز بیمه]]</f>
        <v>0</v>
      </c>
      <c r="AM24" s="53" cm="1">
        <f t="array" ref="AM24">ROUND((Data15272025121621[[#This Row],[روز بیمه]]/list_info302332152027[تعداد روز ماه])*Data15272025121621[[#This Row],[تعداد فرزند]]*list_info302332152027[حق اولاد],0)</f>
        <v>0</v>
      </c>
      <c r="AN24" s="53" cm="1">
        <f t="array" ref="AN24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4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346087482</v>
      </c>
      <c r="AP24" s="48">
        <f>ROUND(Data15272025121621[[#This Row],[سایر مزایا]]+Data15272025121621[[#This Row],[اضافه کار]]+Data15272025121621[[#This Row],[جمعه کاری]],0)</f>
        <v>294087482</v>
      </c>
      <c r="AQ24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24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338096311</v>
      </c>
      <c r="AS24" s="47">
        <f>Data15272025121621[[#This Row],[روز بیمه]]*Data15272025121621[[#This Row],[پایه سنواتی]]*Data15272025121621[[#This Row],[تعداد سال کارکرد]]</f>
        <v>0</v>
      </c>
      <c r="AT24" s="53">
        <f>ROUND(Data15272025121621[[#This Row],[جمع حقوق و مزایا مشمول بیمه]]*0.07,0)</f>
        <v>36959345</v>
      </c>
      <c r="AU24" s="53">
        <f>ROUND(Data15272025121621[[#This Row],[جمع حقوق و مزایا مشمول بیمه]]*0.2,0)</f>
        <v>105598129</v>
      </c>
      <c r="AV24" s="53">
        <f>ROUND(Data15272025121621[[#This Row],[جمع حقوق و مزایا مشمول بیمه]]*0.03,0)</f>
        <v>15839719</v>
      </c>
      <c r="AW24" s="53">
        <f>Data15272025121621[[#This Row],[بیمه بیکاری]]+Data15272025121621[[#This Row],[بیمه سهم کارفرما]]+Data15272025121621[[#This Row],[بیمه سهم کارگر]]</f>
        <v>158397193</v>
      </c>
      <c r="AX24" s="48">
        <f>Data15272025121621[[#This Row],[روز بیمه]]*Data15272025121621[[#This Row],[مزد مبنا]]</f>
        <v>181903164</v>
      </c>
      <c r="AY24" s="48">
        <f>Data15272025121621[[#This Row],[حقوق پایه]]+Data15272025121621[[#This Row],[مزایا مستمر مشمول مالیات]]</f>
        <v>233903164</v>
      </c>
      <c r="AZ24" s="49">
        <f>(Data15272025121621[[#This Row],[حقوق پایه]]+Data15272025121621[[#This Row],[ مزایا مشمول]])*Data15272025121621[[#This Row],[بیمه]]</f>
        <v>527990646</v>
      </c>
      <c r="BA24" s="54">
        <f>ROUND(((Data15272025121621[[#This Row],[ساعت کارکرد]]/Data15272025121621[[#This Row],[کارکرد قرارداد شده]])*Data15272025121621[[#This Row],[حقوق قرارداد شده]]),0)</f>
        <v>866086957</v>
      </c>
      <c r="BB24" s="54">
        <f>Data15272025121621[[#This Row],[بیمه سهم کارگر]]</f>
        <v>36959345</v>
      </c>
      <c r="BC24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829127611</v>
      </c>
      <c r="BD24" s="125" t="str">
        <f>_xlfn.XLOOKUP(Data15272025121621[[#This Row],[کد ملی]],emp_info[کد ملی],emp_info[شماره حساب])</f>
        <v>0119551926000</v>
      </c>
      <c r="BE24" s="50">
        <f>TRUNC(Data15272025121621[[#This Row],[حقوق خالص]]-Data15272025121621[[#This Row],[کسر مساعده]])</f>
        <v>829127611</v>
      </c>
      <c r="BF24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24" s="2">
        <v>351855187</v>
      </c>
      <c r="BI24" s="2">
        <v>236319776</v>
      </c>
      <c r="BJ24" s="20">
        <f t="shared" si="0"/>
        <v>294087481.5</v>
      </c>
      <c r="BL24" s="2">
        <f>Data15272025121621[[#This Row],[بیمه]]</f>
        <v>1</v>
      </c>
      <c r="BM24" s="114" t="str" cm="1">
        <f t="array" ref="BM24">DSKKAR1817292231141823[DSK_ID]</f>
        <v>4894290013</v>
      </c>
      <c r="BN24" s="115" t="str" cm="1">
        <f t="array" ref="BN24">DSKKAR1817292231141823[DSK_YY]</f>
        <v>05</v>
      </c>
      <c r="BO24" s="115" t="str" cm="1">
        <f t="array" ref="BO24">DSKKAR1817292231141823[DSK_MM]</f>
        <v>04</v>
      </c>
      <c r="BP24" s="116" t="str" cm="1">
        <f t="array" ref="BP24">DSKKAR1817292231141823[DSK_LISTNO]</f>
        <v>01</v>
      </c>
      <c r="BQ24" s="117">
        <f>_xlfn.XLOOKUP(Data15272025121621[[#This Row],[کد ملی]],emp_info[کد ملی],emp_info[شماره بیمه],"یافت نشد")</f>
        <v>96070260</v>
      </c>
      <c r="BR24" s="116" t="str">
        <f>_xlfn.XLOOKUP(Data15272025121621[[#This Row],[کد ملی]],emp_info[کد ملی],emp_info[نام],"یافت نشد")</f>
        <v>محمد امین</v>
      </c>
      <c r="BS24" s="116" t="str">
        <f>_xlfn.XLOOKUP(Data15272025121621[[#This Row],[کد ملی]],emp_info[کد ملی],emp_info[نام خانوادگی],"یافت نشد")</f>
        <v>محمدی</v>
      </c>
      <c r="BT24" s="116" t="str">
        <f>_xlfn.XLOOKUP(Data15272025121621[[#This Row],[کد ملی]],emp_info[کد ملی],emp_info[نام  پدر],"یافت نشد")</f>
        <v>یعقوب</v>
      </c>
      <c r="BU24" s="116">
        <f>_xlfn.XLOOKUP(Data15272025121621[[#This Row],[کد ملی]],emp_info[کد ملی],emp_info[شماره شناسنامه],"یافت نشد")</f>
        <v>6790079440</v>
      </c>
      <c r="BV24" s="116" t="str">
        <f>_xlfn.XLOOKUP(Data15272025121621[[#This Row],[کد ملی]],emp_info[کد ملی],emp_info[محل صدور],"یافت نشد")</f>
        <v>شیراز</v>
      </c>
      <c r="BW24" s="116">
        <f>_xlfn.XLOOKUP(Data15272025121621[[#This Row],[کد ملی]],emp_info[کد ملی],emp_info[تاریخ صدور],"یافت نشد")</f>
        <v>0</v>
      </c>
      <c r="BX24" s="116">
        <f>_xlfn.XLOOKUP(Data15272025121621[[#This Row],[کد ملی]],emp_info[کد ملی],emp_info[تاریخ تولد],"یافت نشد")</f>
        <v>13821112</v>
      </c>
      <c r="BY24" s="116" t="str">
        <f>_xlfn.XLOOKUP(Data15272025121621[[#This Row],[کد ملی]],emp_info[کد ملی],emp_info[جنسیت],"یافت نشد")</f>
        <v>مرد</v>
      </c>
      <c r="BZ24" s="116" t="s">
        <v>122</v>
      </c>
      <c r="CA24" s="116" t="str">
        <f>_xlfn.XLOOKUP(Data15272025121621[[#This Row],[کد ملی]],emp_info[کد ملی],emp_info[سمت شغل],"یافت نشد")</f>
        <v>دفترفني</v>
      </c>
      <c r="CB24" s="116">
        <f>_xlfn.XLOOKUP(Data15272025121621[[#This Row],[کد ملی]],emp_info[کد ملی],emp_info[تاریخ شروع به کار],"یافت نشد")</f>
        <v>14040901</v>
      </c>
      <c r="CC24" s="118">
        <f>_xlfn.XLOOKUP(Data15272025121621[[#This Row],[کد ملی]],emp_info[کد ملی],emp_info[ [ تاریخ پایان کار] ],"یافت نشد")</f>
        <v>0</v>
      </c>
      <c r="CD24" s="118">
        <f>Data15272025121621[[#This Row],[روز بیمه]]</f>
        <v>31</v>
      </c>
      <c r="CE24" s="118">
        <f>Data15272025121621[[#This Row],[مزد روزانه ]]</f>
        <v>5867844</v>
      </c>
      <c r="CF24" s="118">
        <f>Data15272025121621[[#This Row],[حقوق پایه]]</f>
        <v>181903164</v>
      </c>
      <c r="CG24" s="118">
        <f>Data15272025121621[[#This Row],[ مزایا مشمول]]</f>
        <v>346087482</v>
      </c>
      <c r="CH24" s="118">
        <f>Data15272025121621[[#This Row],[جمع حقوق و مزایا مشمول بیمه]]</f>
        <v>527990646</v>
      </c>
      <c r="CI24" s="117">
        <f>Data15272025121621[[#This Row],[حقوق ناخالص]]</f>
        <v>866086957</v>
      </c>
      <c r="CJ24" s="117">
        <f>Data15272025121621[[#This Row],[بیمه سهم کارگر]]</f>
        <v>36959345</v>
      </c>
      <c r="CK24" s="116">
        <v>13</v>
      </c>
      <c r="CL24" s="116" t="str">
        <f>TEXT(_xlfn.XLOOKUP(Data15272025121621[[#This Row],[کد ملی]],emp_info[کد ملی],emp_info[کد شغل],"یافت نشد"),"000000")</f>
        <v>009062</v>
      </c>
      <c r="CM24" s="116">
        <f>Data15272025121621[[#This Row],[کد ملی]]</f>
        <v>6790079440</v>
      </c>
      <c r="CN24" s="116">
        <f>Data15272025121621[[#This Row],[پایه سنواتی]]*Data15272025121621[[#This Row],[تعداد سال کارکرد]]</f>
        <v>0</v>
      </c>
      <c r="CO24" s="117">
        <f>Data15272025121621[[#This Row],[حق تاهل]]</f>
        <v>0</v>
      </c>
    </row>
    <row r="25" spans="1:93" ht="24.95" customHeight="1">
      <c r="A25" s="140" t="str">
        <f>_xlfn.XLOOKUP(Data15272025121621[[#This Row],[کد ملی]],emp_info[کد ملی],emp_info[گروه])</f>
        <v>شاغل</v>
      </c>
      <c r="B25" s="121">
        <f>ROWS($A$1:A19)</f>
        <v>19</v>
      </c>
      <c r="C25" s="121">
        <f>_xlfn.XLOOKUP(Data15272025121621[[#This Row],[کد ملی]],emp_info[کد ملی],emp_info[maliat])</f>
        <v>1</v>
      </c>
      <c r="D25" s="121">
        <f>_xlfn.XLOOKUP(Data15272025121621[[#This Row],[کد ملی]],emp_info[کد ملی],emp_info[بیمه])</f>
        <v>1</v>
      </c>
      <c r="E25" s="121">
        <f>_xlfn.XLOOKUP(Data15272025121621[[#This Row],[کد ملی]],emp_info[کد ملی],emp_info[bank])</f>
        <v>1</v>
      </c>
      <c r="F25" s="5">
        <v>6639899760</v>
      </c>
      <c r="G25" s="47" t="str">
        <f>_xlfn.XLOOKUP(Data15272025121621[[#This Row],[کد ملی]],emp_info[کد ملی],emp_info[نام])&amp;" "&amp;_xlfn.XLOOKUP(Data15272025121621[[#This Row],[کد ملی]],emp_info[کد ملی],emp_info[نام خانوادگی])</f>
        <v>علیمراد صید علیوند بوری</v>
      </c>
      <c r="H25" s="47" t="str">
        <f>_xlfn.XLOOKUP(Data15272025121621[[#This Row],[کد ملی]],emp_info[کد ملی],emp_info[وضعیت تاهل],"یافت نشد")</f>
        <v>متاهل</v>
      </c>
      <c r="I25" s="47">
        <f>_xlfn.XLOOKUP(Data15272025121621[[#This Row],[کد ملی]],emp_info[کد ملی],emp_info[تعداد فرزند],"یافت نشد")</f>
        <v>0</v>
      </c>
      <c r="J25" s="47">
        <f>_xlfn.XLOOKUP(Data15272025121621[[#This Row],[کد ملی]],emp_info[کد ملی],emp_info[ساعت کار قرارداد شده],"یافت نشد")</f>
        <v>230</v>
      </c>
      <c r="K25" s="53">
        <f>_xlfn.XLOOKUP(Data15272025121621[[#This Row],[کد ملی]],emp_info[کد ملی],emp_info[حقوق قرارداد شده],"یافت نشد")</f>
        <v>600000000</v>
      </c>
      <c r="L25" s="47">
        <f>_xlfn.XLOOKUP(Data15272025121621[[#This Row],[کد ملی]],emp_info[کد ملی],emp_info[گروه شغلی],"یافت نشد")</f>
        <v>10</v>
      </c>
      <c r="M25" s="48">
        <f>_xlfn.XLOOKUP(Data15272025121621[[#This Row],[کد ملی]],emp_info[کد ملی],emp_info[[مزد روزانه ]],"یافت نشد")</f>
        <v>5867844</v>
      </c>
      <c r="N25" s="47">
        <f>_xlfn.XLOOKUP(Data15272025121621[[#This Row],[کد ملی]],emp_info[کد ملی],emp_info[پایه سنواتی],"یافت نشد")</f>
        <v>168467</v>
      </c>
      <c r="O25" s="47">
        <f>_xlfn.XLOOKUP(Data15272025121621[[#This Row],[کد ملی]],emp_info[کد ملی],emp_info[تعداد سال کارکرد],"یافت نشد")</f>
        <v>0</v>
      </c>
      <c r="P25" s="47">
        <f>_xlfn.XLOOKUP(Data15272025121621[[#This Row],[کد ملی]],emp_info[کد ملی],emp_info[مزد مبنا],"یافت نشد")</f>
        <v>5867844</v>
      </c>
      <c r="Q25" s="47">
        <v>200</v>
      </c>
      <c r="R25" s="47">
        <v>31</v>
      </c>
      <c r="S25" s="47">
        <v>0</v>
      </c>
      <c r="T25" s="47">
        <v>0</v>
      </c>
      <c r="U25" s="49">
        <f>TRUNC(Data15272025121621[[#This Row],[حق ماموریت]]/Data15272025121621[[#This Row],[مزد مبنا]])</f>
        <v>8</v>
      </c>
      <c r="V25" s="47">
        <v>0</v>
      </c>
      <c r="W25" s="53">
        <v>0</v>
      </c>
      <c r="X25" s="53">
        <v>0</v>
      </c>
      <c r="Y25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5" s="53">
        <v>119413568</v>
      </c>
      <c r="AA25" s="49" cm="1">
        <f t="array" ref="AA25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71435008</v>
      </c>
      <c r="AB25" s="49" cm="1">
        <f t="array" ref="AB25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47978560</v>
      </c>
      <c r="AC25" s="53" cm="1">
        <f t="array" ref="AC25">ROUND(5*Data15272025121621[[#This Row],[مزد مبنا]]*(Data15272025121621[[#This Row],[روز بیمه]]/list_info302332152027[تعداد روز ماه]),0)</f>
        <v>29339220</v>
      </c>
      <c r="AD25" s="53">
        <f>ROUND(2.5*(Data15272025121621[[#This Row],[پایه سنواتی]]+Data15272025121621[[#This Row],[مزد روزانه ]])*0,0)</f>
        <v>0</v>
      </c>
      <c r="AE25" s="48" cm="1">
        <f t="array" ref="AE25">ROUND(22000000*Data15272025121621[[#This Row],[روز بیمه]]/list_info302332152027[تعداد روز ماه],0)</f>
        <v>22000000</v>
      </c>
      <c r="AF25" s="48" cm="1">
        <f t="array" ref="AF25">ROUND(list_info302332152027[حق مسکن]*Data15272025121621[[#This Row],[روز بیمه]]/list_info302332152027[تعداد روز ماه],0)</f>
        <v>30000000</v>
      </c>
      <c r="AG25" s="47" cm="1">
        <f t="array" ref="AG25">ROUND(IF(Data15272025121621[[#This Row],[وضعیت تاهل]]="متاهل",list_info302332152027[حق تاهل],0)*Data15272025121621[[#This Row],[روز بیمه]]/list_info302332152027[تعداد روز ماه],0)</f>
        <v>5000000</v>
      </c>
      <c r="AH25" s="47" cm="1">
        <f t="array" ref="AH25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5" s="57" cm="1">
        <f t="array" ref="AI25">list_info302332152027[[درصد فوق العاده جذب تخصصی ماهیانه ]]*Data15272025121621[[#This Row],[مزد روزانه ]]*Data15272025121621[[#This Row],[روز بیمه]]</f>
        <v>0</v>
      </c>
      <c r="AJ25" s="57" cm="1">
        <f t="array" ref="AJ25">list_info302332152027[درصد فوق العاده بدی آب و هوا]*Data15272025121621[[#This Row],[مزد روزانه ]]*Data15272025121621[[#This Row],[روز بیمه]]</f>
        <v>0</v>
      </c>
      <c r="AK25" s="57" cm="1">
        <f t="array" ref="AK25">list_info302332152027[[فوق العاده جذب تخصصی دوری از خانواده ]]*Data15272025121621[[#This Row],[مزد روزانه ]]*Data15272025121621[[#This Row],[روز بیمه]]</f>
        <v>0</v>
      </c>
      <c r="AL25" s="57" cm="1">
        <f t="array" ref="AL25">list_info302332152027[فوق العاده پارس جنوبی]*Data15272025121621[[#This Row],[مزد روزانه ]]*Data15272025121621[[#This Row],[روز بیمه]]</f>
        <v>0</v>
      </c>
      <c r="AM25" s="53" cm="1">
        <f t="array" ref="AM25">ROUND((Data15272025121621[[#This Row],[روز بیمه]]/list_info302332152027[تعداد روز ماه])*Data15272025121621[[#This Row],[تعداد فرزند]]*list_info302332152027[حق اولاد],0)</f>
        <v>0</v>
      </c>
      <c r="AN25" s="53" cm="1">
        <f t="array" ref="AN25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5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176413568</v>
      </c>
      <c r="AP25" s="48">
        <f>ROUND(Data15272025121621[[#This Row],[سایر مزایا]]+Data15272025121621[[#This Row],[اضافه کار]]+Data15272025121621[[#This Row],[جمعه کاری]],0)</f>
        <v>119413568</v>
      </c>
      <c r="AQ25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57000000</v>
      </c>
      <c r="AR25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163422398</v>
      </c>
      <c r="AS25" s="47">
        <f>Data15272025121621[[#This Row],[روز بیمه]]*Data15272025121621[[#This Row],[پایه سنواتی]]*Data15272025121621[[#This Row],[تعداد سال کارکرد]]</f>
        <v>0</v>
      </c>
      <c r="AT25" s="53">
        <f>ROUND(Data15272025121621[[#This Row],[جمع حقوق و مزایا مشمول بیمه]]*0.07,0)</f>
        <v>25082171</v>
      </c>
      <c r="AU25" s="53">
        <f>ROUND(Data15272025121621[[#This Row],[جمع حقوق و مزایا مشمول بیمه]]*0.2,0)</f>
        <v>71663346</v>
      </c>
      <c r="AV25" s="53">
        <f>ROUND(Data15272025121621[[#This Row],[جمع حقوق و مزایا مشمول بیمه]]*0.03,0)</f>
        <v>10749502</v>
      </c>
      <c r="AW25" s="53">
        <f>Data15272025121621[[#This Row],[بیمه بیکاری]]+Data15272025121621[[#This Row],[بیمه سهم کارفرما]]+Data15272025121621[[#This Row],[بیمه سهم کارگر]]</f>
        <v>107495019</v>
      </c>
      <c r="AX25" s="48">
        <f>Data15272025121621[[#This Row],[روز بیمه]]*Data15272025121621[[#This Row],[مزد مبنا]]</f>
        <v>181903164</v>
      </c>
      <c r="AY25" s="48">
        <f>Data15272025121621[[#This Row],[حقوق پایه]]+Data15272025121621[[#This Row],[مزایا مستمر مشمول مالیات]]</f>
        <v>238903164</v>
      </c>
      <c r="AZ25" s="49">
        <f>(Data15272025121621[[#This Row],[حقوق پایه]]+Data15272025121621[[#This Row],[ مزایا مشمول]])*Data15272025121621[[#This Row],[بیمه]]</f>
        <v>358316732</v>
      </c>
      <c r="BA25" s="54">
        <f>ROUND(((Data15272025121621[[#This Row],[ساعت کارکرد]]/Data15272025121621[[#This Row],[کارکرد قرارداد شده]])*Data15272025121621[[#This Row],[حقوق قرارداد شده]]),0)</f>
        <v>521739130</v>
      </c>
      <c r="BB25" s="54">
        <f>Data15272025121621[[#This Row],[بیمه سهم کارگر]]</f>
        <v>25082171</v>
      </c>
      <c r="BC25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496656959</v>
      </c>
      <c r="BD25" s="125" t="str">
        <f>_xlfn.XLOOKUP(Data15272025121621[[#This Row],[کد ملی]],emp_info[کد ملی],emp_info[شماره حساب])</f>
        <v>0339081660000</v>
      </c>
      <c r="BE25" s="50">
        <f>TRUNC(Data15272025121621[[#This Row],[حقوق خالص]]-Data15272025121621[[#This Row],[کسر مساعده]])</f>
        <v>496656959</v>
      </c>
      <c r="BF25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5" s="2">
        <v>142870017</v>
      </c>
      <c r="BI25" s="2">
        <v>95957119</v>
      </c>
      <c r="BJ25" s="20">
        <f t="shared" si="0"/>
        <v>119413568</v>
      </c>
      <c r="BL25" s="2">
        <f>Data15272025121621[[#This Row],[بیمه]]</f>
        <v>1</v>
      </c>
      <c r="BM25" s="114" t="str" cm="1">
        <f t="array" ref="BM25">DSKKAR1817292231141823[DSK_ID]</f>
        <v>4894290013</v>
      </c>
      <c r="BN25" s="115" t="str" cm="1">
        <f t="array" ref="BN25">DSKKAR1817292231141823[DSK_YY]</f>
        <v>05</v>
      </c>
      <c r="BO25" s="115" t="str" cm="1">
        <f t="array" ref="BO25">DSKKAR1817292231141823[DSK_MM]</f>
        <v>04</v>
      </c>
      <c r="BP25" s="116" t="str" cm="1">
        <f t="array" ref="BP25">DSKKAR1817292231141823[DSK_LISTNO]</f>
        <v>01</v>
      </c>
      <c r="BQ25" s="117">
        <f>_xlfn.XLOOKUP(Data15272025121621[[#This Row],[کد ملی]],emp_info[کد ملی],emp_info[شماره بیمه],"یافت نشد")</f>
        <v>55036501</v>
      </c>
      <c r="BR25" s="116" t="str">
        <f>_xlfn.XLOOKUP(Data15272025121621[[#This Row],[کد ملی]],emp_info[کد ملی],emp_info[نام],"یافت نشد")</f>
        <v>علیمراد</v>
      </c>
      <c r="BS25" s="116" t="str">
        <f>_xlfn.XLOOKUP(Data15272025121621[[#This Row],[کد ملی]],emp_info[کد ملی],emp_info[نام خانوادگی],"یافت نشد")</f>
        <v>صید علیوند بوری</v>
      </c>
      <c r="BT25" s="116" t="str">
        <f>_xlfn.XLOOKUP(Data15272025121621[[#This Row],[کد ملی]],emp_info[کد ملی],emp_info[نام  پدر],"یافت نشد")</f>
        <v>مراد</v>
      </c>
      <c r="BU25" s="116">
        <f>_xlfn.XLOOKUP(Data15272025121621[[#This Row],[کد ملی]],emp_info[کد ملی],emp_info[شماره شناسنامه],"یافت نشد")</f>
        <v>33</v>
      </c>
      <c r="BV25" s="116" t="str">
        <f>_xlfn.XLOOKUP(Data15272025121621[[#This Row],[کد ملی]],emp_info[کد ملی],emp_info[محل صدور],"یافت نشد")</f>
        <v>اندیکا</v>
      </c>
      <c r="BW25" s="116">
        <f>_xlfn.XLOOKUP(Data15272025121621[[#This Row],[کد ملی]],emp_info[کد ملی],emp_info[تاریخ صدور],"یافت نشد")</f>
        <v>0</v>
      </c>
      <c r="BX25" s="116">
        <f>_xlfn.XLOOKUP(Data15272025121621[[#This Row],[کد ملی]],emp_info[کد ملی],emp_info[تاریخ تولد],"یافت نشد")</f>
        <v>13680301</v>
      </c>
      <c r="BY25" s="116" t="str">
        <f>_xlfn.XLOOKUP(Data15272025121621[[#This Row],[کد ملی]],emp_info[کد ملی],emp_info[جنسیت],"یافت نشد")</f>
        <v>مرد</v>
      </c>
      <c r="BZ25" s="116" t="s">
        <v>122</v>
      </c>
      <c r="CA25" s="116" t="str">
        <f>_xlfn.XLOOKUP(Data15272025121621[[#This Row],[کد ملی]],emp_info[کد ملی],emp_info[سمت شغل],"یافت نشد")</f>
        <v>انباردار</v>
      </c>
      <c r="CB25" s="116">
        <f>_xlfn.XLOOKUP(Data15272025121621[[#This Row],[کد ملی]],emp_info[کد ملی],emp_info[تاریخ شروع به کار],"یافت نشد")</f>
        <v>14040901</v>
      </c>
      <c r="CC25" s="118">
        <f>_xlfn.XLOOKUP(Data15272025121621[[#This Row],[کد ملی]],emp_info[کد ملی],emp_info[ [ تاریخ پایان کار] ],"یافت نشد")</f>
        <v>0</v>
      </c>
      <c r="CD25" s="118">
        <f>Data15272025121621[[#This Row],[روز بیمه]]</f>
        <v>31</v>
      </c>
      <c r="CE25" s="118">
        <f>Data15272025121621[[#This Row],[مزد روزانه ]]</f>
        <v>5867844</v>
      </c>
      <c r="CF25" s="118">
        <f>Data15272025121621[[#This Row],[حقوق پایه]]</f>
        <v>181903164</v>
      </c>
      <c r="CG25" s="118">
        <f>Data15272025121621[[#This Row],[ مزایا مشمول]]</f>
        <v>176413568</v>
      </c>
      <c r="CH25" s="118">
        <f>Data15272025121621[[#This Row],[جمع حقوق و مزایا مشمول بیمه]]</f>
        <v>358316732</v>
      </c>
      <c r="CI25" s="117">
        <f>Data15272025121621[[#This Row],[حقوق ناخالص]]</f>
        <v>521739130</v>
      </c>
      <c r="CJ25" s="117">
        <f>Data15272025121621[[#This Row],[بیمه سهم کارگر]]</f>
        <v>25082171</v>
      </c>
      <c r="CK25" s="116">
        <v>14</v>
      </c>
      <c r="CL25" s="116" t="str">
        <f>TEXT(_xlfn.XLOOKUP(Data15272025121621[[#This Row],[کد ملی]],emp_info[کد ملی],emp_info[کد شغل],"یافت نشد"),"000000")</f>
        <v>000255</v>
      </c>
      <c r="CM25" s="116">
        <f>Data15272025121621[[#This Row],[کد ملی]]</f>
        <v>6639899760</v>
      </c>
      <c r="CN25" s="116">
        <f>Data15272025121621[[#This Row],[پایه سنواتی]]*Data15272025121621[[#This Row],[تعداد سال کارکرد]]</f>
        <v>0</v>
      </c>
      <c r="CO25" s="117">
        <f>Data15272025121621[[#This Row],[حق تاهل]]</f>
        <v>5000000</v>
      </c>
    </row>
    <row r="26" spans="1:93" ht="24.95" customHeight="1">
      <c r="A26" s="140" t="str">
        <f>_xlfn.XLOOKUP(Data15272025121621[[#This Row],[کد ملی]],emp_info[کد ملی],emp_info[گروه])</f>
        <v>شاغل</v>
      </c>
      <c r="B26" s="121">
        <f>ROWS($A$1:A20)</f>
        <v>20</v>
      </c>
      <c r="C26" s="121">
        <f>_xlfn.XLOOKUP(Data15272025121621[[#This Row],[کد ملی]],emp_info[کد ملی],emp_info[maliat])</f>
        <v>1</v>
      </c>
      <c r="D26" s="121">
        <f>_xlfn.XLOOKUP(Data15272025121621[[#This Row],[کد ملی]],emp_info[کد ملی],emp_info[بیمه])</f>
        <v>1</v>
      </c>
      <c r="E26" s="121">
        <f>_xlfn.XLOOKUP(Data15272025121621[[#This Row],[کد ملی]],emp_info[کد ملی],emp_info[bank])</f>
        <v>1</v>
      </c>
      <c r="F26" s="5">
        <v>2572718901</v>
      </c>
      <c r="G26" s="47" t="str">
        <f>_xlfn.XLOOKUP(Data15272025121621[[#This Row],[کد ملی]],emp_info[کد ملی],emp_info[نام])&amp;" "&amp;_xlfn.XLOOKUP(Data15272025121621[[#This Row],[کد ملی]],emp_info[کد ملی],emp_info[نام خانوادگی])</f>
        <v>میثم اسدیان</v>
      </c>
      <c r="H26" s="47" t="str">
        <f>_xlfn.XLOOKUP(Data15272025121621[[#This Row],[کد ملی]],emp_info[کد ملی],emp_info[وضعیت تاهل],"یافت نشد")</f>
        <v>متاهل</v>
      </c>
      <c r="I26" s="47">
        <f>_xlfn.XLOOKUP(Data15272025121621[[#This Row],[کد ملی]],emp_info[کد ملی],emp_info[تعداد فرزند],"یافت نشد")</f>
        <v>1</v>
      </c>
      <c r="J26" s="47">
        <f>_xlfn.XLOOKUP(Data15272025121621[[#This Row],[کد ملی]],emp_info[کد ملی],emp_info[ساعت کار قرارداد شده],"یافت نشد")</f>
        <v>230</v>
      </c>
      <c r="K26" s="53">
        <f>_xlfn.XLOOKUP(Data15272025121621[[#This Row],[کد ملی]],emp_info[کد ملی],emp_info[حقوق قرارداد شده],"یافت نشد")</f>
        <v>500000000</v>
      </c>
      <c r="L26" s="47">
        <f>_xlfn.XLOOKUP(Data15272025121621[[#This Row],[کد ملی]],emp_info[کد ملی],emp_info[گروه شغلی],"یافت نشد")</f>
        <v>10</v>
      </c>
      <c r="M26" s="48">
        <f>_xlfn.XLOOKUP(Data15272025121621[[#This Row],[کد ملی]],emp_info[کد ملی],emp_info[[مزد روزانه ]],"یافت نشد")</f>
        <v>5867844</v>
      </c>
      <c r="N26" s="47">
        <f>_xlfn.XLOOKUP(Data15272025121621[[#This Row],[کد ملی]],emp_info[کد ملی],emp_info[پایه سنواتی],"یافت نشد")</f>
        <v>168467</v>
      </c>
      <c r="O26" s="47">
        <f>_xlfn.XLOOKUP(Data15272025121621[[#This Row],[کد ملی]],emp_info[کد ملی],emp_info[تعداد سال کارکرد],"یافت نشد")</f>
        <v>0</v>
      </c>
      <c r="P26" s="47">
        <f>_xlfn.XLOOKUP(Data15272025121621[[#This Row],[کد ملی]],emp_info[کد ملی],emp_info[مزد مبنا],"یافت نشد")</f>
        <v>5867844</v>
      </c>
      <c r="Q26" s="47">
        <v>253</v>
      </c>
      <c r="R26" s="47">
        <v>31</v>
      </c>
      <c r="S26" s="47">
        <v>0</v>
      </c>
      <c r="T26" s="47">
        <v>0</v>
      </c>
      <c r="U26" s="49">
        <f>TRUNC(Data15272025121621[[#This Row],[حق ماموریت]]/Data15272025121621[[#This Row],[مزد مبنا]])</f>
        <v>8</v>
      </c>
      <c r="V26" s="47">
        <v>0</v>
      </c>
      <c r="W26" s="53">
        <v>0</v>
      </c>
      <c r="X26" s="53">
        <v>0</v>
      </c>
      <c r="Y26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6" s="53">
        <v>125231228.5</v>
      </c>
      <c r="AA26" s="49" cm="1">
        <f t="array" ref="AA26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74915221</v>
      </c>
      <c r="AB26" s="49" cm="1">
        <f t="array" ref="AB26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50316007</v>
      </c>
      <c r="AC26" s="53" cm="1">
        <f t="array" ref="AC26">ROUND(5*Data15272025121621[[#This Row],[مزد مبنا]]*(Data15272025121621[[#This Row],[روز بیمه]]/list_info302332152027[تعداد روز ماه]),0)</f>
        <v>29339220</v>
      </c>
      <c r="AD26" s="53">
        <f>ROUND(2.5*(Data15272025121621[[#This Row],[پایه سنواتی]]+Data15272025121621[[#This Row],[مزد روزانه ]])*0,0)</f>
        <v>0</v>
      </c>
      <c r="AE26" s="48" cm="1">
        <f t="array" ref="AE26">ROUND(22000000*Data15272025121621[[#This Row],[روز بیمه]]/list_info302332152027[تعداد روز ماه],0)</f>
        <v>22000000</v>
      </c>
      <c r="AF26" s="48" cm="1">
        <f t="array" ref="AF26">ROUND(list_info302332152027[حق مسکن]*Data15272025121621[[#This Row],[روز بیمه]]/list_info302332152027[تعداد روز ماه],0)</f>
        <v>30000000</v>
      </c>
      <c r="AG26" s="47" cm="1">
        <f t="array" ref="AG26">ROUND(IF(Data15272025121621[[#This Row],[وضعیت تاهل]]="متاهل",list_info302332152027[حق تاهل],0)*Data15272025121621[[#This Row],[روز بیمه]]/list_info302332152027[تعداد روز ماه],0)</f>
        <v>5000000</v>
      </c>
      <c r="AH26" s="47" cm="1">
        <f t="array" ref="AH26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6" s="57" cm="1">
        <f t="array" ref="AI26">list_info302332152027[[درصد فوق العاده جذب تخصصی ماهیانه ]]*Data15272025121621[[#This Row],[مزد روزانه ]]*Data15272025121621[[#This Row],[روز بیمه]]</f>
        <v>0</v>
      </c>
      <c r="AJ26" s="57" cm="1">
        <f t="array" ref="AJ26">list_info302332152027[درصد فوق العاده بدی آب و هوا]*Data15272025121621[[#This Row],[مزد روزانه ]]*Data15272025121621[[#This Row],[روز بیمه]]</f>
        <v>0</v>
      </c>
      <c r="AK26" s="57" cm="1">
        <f t="array" ref="AK26">list_info302332152027[[فوق العاده جذب تخصصی دوری از خانواده ]]*Data15272025121621[[#This Row],[مزد روزانه ]]*Data15272025121621[[#This Row],[روز بیمه]]</f>
        <v>0</v>
      </c>
      <c r="AL26" s="57" cm="1">
        <f t="array" ref="AL26">list_info302332152027[فوق العاده پارس جنوبی]*Data15272025121621[[#This Row],[مزد روزانه ]]*Data15272025121621[[#This Row],[روز بیمه]]</f>
        <v>0</v>
      </c>
      <c r="AM26" s="53" cm="1">
        <f t="array" ref="AM26">ROUND((Data15272025121621[[#This Row],[روز بیمه]]/list_info302332152027[تعداد روز ماه])*Data15272025121621[[#This Row],[تعداد فرزند]]*list_info302332152027[حق اولاد],0)</f>
        <v>16625549</v>
      </c>
      <c r="AN26" s="53" cm="1">
        <f t="array" ref="AN26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6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182231229</v>
      </c>
      <c r="AP26" s="48">
        <f>ROUND(Data15272025121621[[#This Row],[سایر مزایا]]+Data15272025121621[[#This Row],[اضافه کار]]+Data15272025121621[[#This Row],[جمعه کاری]],0)</f>
        <v>125231229</v>
      </c>
      <c r="AQ26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73625549</v>
      </c>
      <c r="AR26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185865607</v>
      </c>
      <c r="AS26" s="47">
        <f>Data15272025121621[[#This Row],[روز بیمه]]*Data15272025121621[[#This Row],[پایه سنواتی]]*Data15272025121621[[#This Row],[تعداد سال کارکرد]]</f>
        <v>0</v>
      </c>
      <c r="AT26" s="53">
        <f>ROUND(Data15272025121621[[#This Row],[جمع حقوق و مزایا مشمول بیمه]]*0.07,0)</f>
        <v>25489408</v>
      </c>
      <c r="AU26" s="53">
        <f>ROUND(Data15272025121621[[#This Row],[جمع حقوق و مزایا مشمول بیمه]]*0.2,0)</f>
        <v>72826879</v>
      </c>
      <c r="AV26" s="53">
        <f>ROUND(Data15272025121621[[#This Row],[جمع حقوق و مزایا مشمول بیمه]]*0.03,0)</f>
        <v>10924032</v>
      </c>
      <c r="AW26" s="53">
        <f>Data15272025121621[[#This Row],[بیمه بیکاری]]+Data15272025121621[[#This Row],[بیمه سهم کارفرما]]+Data15272025121621[[#This Row],[بیمه سهم کارگر]]</f>
        <v>109240319</v>
      </c>
      <c r="AX26" s="48">
        <f>Data15272025121621[[#This Row],[روز بیمه]]*Data15272025121621[[#This Row],[مزد مبنا]]</f>
        <v>181903164</v>
      </c>
      <c r="AY26" s="48">
        <f>Data15272025121621[[#This Row],[حقوق پایه]]+Data15272025121621[[#This Row],[مزایا مستمر مشمول مالیات]]</f>
        <v>255528713</v>
      </c>
      <c r="AZ26" s="49">
        <f>(Data15272025121621[[#This Row],[حقوق پایه]]+Data15272025121621[[#This Row],[ مزایا مشمول]])*Data15272025121621[[#This Row],[بیمه]]</f>
        <v>364134393</v>
      </c>
      <c r="BA26" s="54">
        <f>ROUND(((Data15272025121621[[#This Row],[ساعت کارکرد]]/Data15272025121621[[#This Row],[کارکرد قرارداد شده]])*Data15272025121621[[#This Row],[حقوق قرارداد شده]]),0)</f>
        <v>550000000</v>
      </c>
      <c r="BB26" s="54">
        <f>Data15272025121621[[#This Row],[بیمه سهم کارگر]]</f>
        <v>25489408</v>
      </c>
      <c r="BC26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524510592</v>
      </c>
      <c r="BD26" s="125">
        <f>_xlfn.XLOOKUP(Data15272025121621[[#This Row],[کد ملی]],emp_info[کد ملی],emp_info[شماره حساب])</f>
        <v>0</v>
      </c>
      <c r="BE26" s="50">
        <f>TRUNC(Data15272025121621[[#This Row],[حقوق خالص]]-Data15272025121621[[#This Row],[کسر مساعده]])</f>
        <v>524510592</v>
      </c>
      <c r="BF26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26" s="2">
        <v>149830442</v>
      </c>
      <c r="BI26" s="2">
        <v>100632015</v>
      </c>
      <c r="BJ26" s="20">
        <f t="shared" si="0"/>
        <v>125231228.5</v>
      </c>
      <c r="BL26" s="2">
        <f>Data15272025121621[[#This Row],[بیمه]]</f>
        <v>1</v>
      </c>
      <c r="BM26" s="114" t="str" cm="1">
        <f t="array" ref="BM26">DSKKAR1817292231141823[DSK_ID]</f>
        <v>4894290013</v>
      </c>
      <c r="BN26" s="115" t="str" cm="1">
        <f t="array" ref="BN26">DSKKAR1817292231141823[DSK_YY]</f>
        <v>05</v>
      </c>
      <c r="BO26" s="115" t="str" cm="1">
        <f t="array" ref="BO26">DSKKAR1817292231141823[DSK_MM]</f>
        <v>04</v>
      </c>
      <c r="BP26" s="116" t="str" cm="1">
        <f t="array" ref="BP26">DSKKAR1817292231141823[DSK_LISTNO]</f>
        <v>01</v>
      </c>
      <c r="BQ26" s="117">
        <f>_xlfn.XLOOKUP(Data15272025121621[[#This Row],[کد ملی]],emp_info[کد ملی],emp_info[شماره بیمه],"یافت نشد")</f>
        <v>85383405</v>
      </c>
      <c r="BR26" s="116" t="str">
        <f>_xlfn.XLOOKUP(Data15272025121621[[#This Row],[کد ملی]],emp_info[کد ملی],emp_info[نام],"یافت نشد")</f>
        <v>میثم</v>
      </c>
      <c r="BS26" s="116" t="str">
        <f>_xlfn.XLOOKUP(Data15272025121621[[#This Row],[کد ملی]],emp_info[کد ملی],emp_info[نام خانوادگی],"یافت نشد")</f>
        <v>اسدیان</v>
      </c>
      <c r="BT26" s="116" t="str">
        <f>_xlfn.XLOOKUP(Data15272025121621[[#This Row],[کد ملی]],emp_info[کد ملی],emp_info[نام  پدر],"یافت نشد")</f>
        <v>حاجی</v>
      </c>
      <c r="BU26" s="116" t="str">
        <f>_xlfn.XLOOKUP(Data15272025121621[[#This Row],[کد ملی]],emp_info[کد ملی],emp_info[شماره شناسنامه],"یافت نشد")</f>
        <v>37</v>
      </c>
      <c r="BV26" s="116" t="str">
        <f>_xlfn.XLOOKUP(Data15272025121621[[#This Row],[کد ملی]],emp_info[کد ملی],emp_info[محل صدور],"یافت نشد")</f>
        <v>فسا</v>
      </c>
      <c r="BW26" s="116">
        <f>_xlfn.XLOOKUP(Data15272025121621[[#This Row],[کد ملی]],emp_info[کد ملی],emp_info[تاریخ صدور],"یافت نشد")</f>
        <v>0</v>
      </c>
      <c r="BX26" s="116">
        <f>_xlfn.XLOOKUP(Data15272025121621[[#This Row],[کد ملی]],emp_info[کد ملی],emp_info[تاریخ تولد],"یافت نشد")</f>
        <v>13640701</v>
      </c>
      <c r="BY26" s="116" t="str">
        <f>_xlfn.XLOOKUP(Data15272025121621[[#This Row],[کد ملی]],emp_info[کد ملی],emp_info[جنسیت],"یافت نشد")</f>
        <v>مرد</v>
      </c>
      <c r="BZ26" s="116" t="s">
        <v>122</v>
      </c>
      <c r="CA26" s="116" t="str">
        <f>_xlfn.XLOOKUP(Data15272025121621[[#This Row],[کد ملی]],emp_info[کد ملی],emp_info[سمت شغل],"یافت نشد")</f>
        <v>دفتر فنی</v>
      </c>
      <c r="CB26" s="116">
        <f>_xlfn.XLOOKUP(Data15272025121621[[#This Row],[کد ملی]],emp_info[کد ملی],emp_info[تاریخ شروع به کار],"یافت نشد")</f>
        <v>14050201</v>
      </c>
      <c r="CC26" s="118">
        <f>_xlfn.XLOOKUP(Data15272025121621[[#This Row],[کد ملی]],emp_info[کد ملی],emp_info[ [ تاریخ پایان کار] ],"یافت نشد")</f>
        <v>0</v>
      </c>
      <c r="CD26" s="118">
        <f>Data15272025121621[[#This Row],[روز بیمه]]</f>
        <v>31</v>
      </c>
      <c r="CE26" s="118">
        <f>Data15272025121621[[#This Row],[مزد روزانه ]]</f>
        <v>5867844</v>
      </c>
      <c r="CF26" s="118">
        <f>Data15272025121621[[#This Row],[حقوق پایه]]</f>
        <v>181903164</v>
      </c>
      <c r="CG26" s="118">
        <f>Data15272025121621[[#This Row],[ مزایا مشمول]]</f>
        <v>182231229</v>
      </c>
      <c r="CH26" s="118">
        <f>Data15272025121621[[#This Row],[جمع حقوق و مزایا مشمول بیمه]]</f>
        <v>364134393</v>
      </c>
      <c r="CI26" s="117">
        <f>Data15272025121621[[#This Row],[حقوق ناخالص]]</f>
        <v>550000000</v>
      </c>
      <c r="CJ26" s="117">
        <f>Data15272025121621[[#This Row],[بیمه سهم کارگر]]</f>
        <v>25489408</v>
      </c>
      <c r="CK26" s="116">
        <v>15</v>
      </c>
      <c r="CL26" s="116" t="str">
        <f>TEXT(_xlfn.XLOOKUP(Data15272025121621[[#This Row],[کد ملی]],emp_info[کد ملی],emp_info[کد شغل],"یافت نشد"),"000000")</f>
        <v>009062</v>
      </c>
      <c r="CM26" s="116">
        <f>Data15272025121621[[#This Row],[کد ملی]]</f>
        <v>2572718901</v>
      </c>
      <c r="CN26" s="116">
        <f>Data15272025121621[[#This Row],[پایه سنواتی]]*Data15272025121621[[#This Row],[تعداد سال کارکرد]]</f>
        <v>0</v>
      </c>
      <c r="CO26" s="117">
        <f>Data15272025121621[[#This Row],[حق تاهل]]</f>
        <v>5000000</v>
      </c>
    </row>
    <row r="27" spans="1:93" ht="24.95" customHeight="1">
      <c r="A27" s="140" t="str">
        <f>_xlfn.XLOOKUP(Data15272025121621[[#This Row],[کد ملی]],emp_info[کد ملی],emp_info[گروه])</f>
        <v>شاغل</v>
      </c>
      <c r="B27" s="121">
        <f>ROWS($A$1:A21)</f>
        <v>21</v>
      </c>
      <c r="C27" s="121">
        <f>_xlfn.XLOOKUP(Data15272025121621[[#This Row],[کد ملی]],emp_info[کد ملی],emp_info[maliat])</f>
        <v>1</v>
      </c>
      <c r="D27" s="121">
        <f>_xlfn.XLOOKUP(Data15272025121621[[#This Row],[کد ملی]],emp_info[کد ملی],emp_info[بیمه])</f>
        <v>1</v>
      </c>
      <c r="E27" s="121">
        <f>_xlfn.XLOOKUP(Data15272025121621[[#This Row],[کد ملی]],emp_info[کد ملی],emp_info[bank])</f>
        <v>1</v>
      </c>
      <c r="F27" s="5">
        <v>1971354503</v>
      </c>
      <c r="G27" s="47" t="str">
        <f>_xlfn.XLOOKUP(Data15272025121621[[#This Row],[کد ملی]],emp_info[کد ملی],emp_info[نام])&amp;" "&amp;_xlfn.XLOOKUP(Data15272025121621[[#This Row],[کد ملی]],emp_info[کد ملی],emp_info[نام خانوادگی])</f>
        <v>شاهرخ علی پور دستگردی</v>
      </c>
      <c r="H27" s="47" t="str">
        <f>_xlfn.XLOOKUP(Data15272025121621[[#This Row],[کد ملی]],emp_info[کد ملی],emp_info[وضعیت تاهل],"یافت نشد")</f>
        <v>متاهل</v>
      </c>
      <c r="I27" s="47">
        <f>_xlfn.XLOOKUP(Data15272025121621[[#This Row],[کد ملی]],emp_info[کد ملی],emp_info[تعداد فرزند],"یافت نشد")</f>
        <v>1</v>
      </c>
      <c r="J27" s="47">
        <f>_xlfn.XLOOKUP(Data15272025121621[[#This Row],[کد ملی]],emp_info[کد ملی],emp_info[ساعت کار قرارداد شده],"یافت نشد")</f>
        <v>230</v>
      </c>
      <c r="K27" s="53">
        <f>_xlfn.XLOOKUP(Data15272025121621[[#This Row],[کد ملی]],emp_info[کد ملی],emp_info[حقوق قرارداد شده],"یافت نشد")</f>
        <v>530000000</v>
      </c>
      <c r="L27" s="47">
        <f>_xlfn.XLOOKUP(Data15272025121621[[#This Row],[کد ملی]],emp_info[کد ملی],emp_info[گروه شغلی],"یافت نشد")</f>
        <v>13</v>
      </c>
      <c r="M27" s="48">
        <f>_xlfn.XLOOKUP(Data15272025121621[[#This Row],[کد ملی]],emp_info[کد ملی],emp_info[[مزد روزانه ]],"یافت نشد")</f>
        <v>6044057</v>
      </c>
      <c r="N27" s="47">
        <f>_xlfn.XLOOKUP(Data15272025121621[[#This Row],[کد ملی]],emp_info[کد ملی],emp_info[پایه سنواتی],"یافت نشد")</f>
        <v>169467</v>
      </c>
      <c r="O27" s="47">
        <f>_xlfn.XLOOKUP(Data15272025121621[[#This Row],[کد ملی]],emp_info[کد ملی],emp_info[تعداد سال کارکرد],"یافت نشد")</f>
        <v>0</v>
      </c>
      <c r="P27" s="47">
        <f>_xlfn.XLOOKUP(Data15272025121621[[#This Row],[کد ملی]],emp_info[کد ملی],emp_info[مزد مبنا],"یافت نشد")</f>
        <v>6044057</v>
      </c>
      <c r="Q27" s="47">
        <v>209</v>
      </c>
      <c r="R27" s="47">
        <v>31</v>
      </c>
      <c r="S27" s="47">
        <v>0</v>
      </c>
      <c r="T27" s="47">
        <v>0</v>
      </c>
      <c r="U27" s="49">
        <f>TRUNC(Data15272025121621[[#This Row],[حق ماموریت]]/Data15272025121621[[#This Row],[مزد مبنا]])</f>
        <v>5</v>
      </c>
      <c r="V27" s="47">
        <v>0</v>
      </c>
      <c r="W27" s="53">
        <v>0</v>
      </c>
      <c r="X27" s="53">
        <v>0</v>
      </c>
      <c r="Y27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7" s="53">
        <v>87643476</v>
      </c>
      <c r="AA27" s="49" cm="1">
        <f t="array" ref="AA2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51804598</v>
      </c>
      <c r="AB27" s="49" cm="1">
        <f t="array" ref="AB2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35838878</v>
      </c>
      <c r="AC27" s="53" cm="1">
        <f t="array" ref="AC27">ROUND(5*Data15272025121621[[#This Row],[مزد مبنا]]*(Data15272025121621[[#This Row],[روز بیمه]]/list_info302332152027[تعداد روز ماه]),0)</f>
        <v>30220285</v>
      </c>
      <c r="AD27" s="53">
        <f>ROUND(2.5*(Data15272025121621[[#This Row],[پایه سنواتی]]+Data15272025121621[[#This Row],[مزد روزانه ]])*0,0)</f>
        <v>0</v>
      </c>
      <c r="AE27" s="48" cm="1">
        <f t="array" ref="AE27">ROUND(22000000*Data15272025121621[[#This Row],[روز بیمه]]/list_info302332152027[تعداد روز ماه],0)</f>
        <v>22000000</v>
      </c>
      <c r="AF27" s="48" cm="1">
        <f t="array" ref="AF27">ROUND(list_info302332152027[حق مسکن]*Data15272025121621[[#This Row],[روز بیمه]]/list_info302332152027[تعداد روز ماه],0)</f>
        <v>30000000</v>
      </c>
      <c r="AG27" s="47" cm="1">
        <f t="array" ref="AG27">ROUND(IF(Data15272025121621[[#This Row],[وضعیت تاهل]]="متاهل",list_info302332152027[حق تاهل],0)*Data15272025121621[[#This Row],[روز بیمه]]/list_info302332152027[تعداد روز ماه],0)</f>
        <v>5000000</v>
      </c>
      <c r="AH27" s="47" cm="1">
        <f t="array" ref="AH27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7" s="57" cm="1">
        <f t="array" ref="AI27">list_info302332152027[[درصد فوق العاده جذب تخصصی ماهیانه ]]*Data15272025121621[[#This Row],[مزد روزانه ]]*Data15272025121621[[#This Row],[روز بیمه]]</f>
        <v>0</v>
      </c>
      <c r="AJ27" s="57" cm="1">
        <f t="array" ref="AJ27">list_info302332152027[درصد فوق العاده بدی آب و هوا]*Data15272025121621[[#This Row],[مزد روزانه ]]*Data15272025121621[[#This Row],[روز بیمه]]</f>
        <v>0</v>
      </c>
      <c r="AK27" s="57" cm="1">
        <f t="array" ref="AK27">list_info302332152027[[فوق العاده جذب تخصصی دوری از خانواده ]]*Data15272025121621[[#This Row],[مزد روزانه ]]*Data15272025121621[[#This Row],[روز بیمه]]</f>
        <v>0</v>
      </c>
      <c r="AL27" s="57" cm="1">
        <f t="array" ref="AL27">list_info302332152027[فوق العاده پارس جنوبی]*Data15272025121621[[#This Row],[مزد روزانه ]]*Data15272025121621[[#This Row],[روز بیمه]]</f>
        <v>0</v>
      </c>
      <c r="AM27" s="53" cm="1">
        <f t="array" ref="AM27">ROUND((Data15272025121621[[#This Row],[روز بیمه]]/list_info302332152027[تعداد روز ماه])*Data15272025121621[[#This Row],[تعداد فرزند]]*list_info302332152027[حق اولاد],0)</f>
        <v>16625549</v>
      </c>
      <c r="AN27" s="53" cm="1">
        <f t="array" ref="AN27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15110142.5</v>
      </c>
      <c r="AO27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144643476</v>
      </c>
      <c r="AP27" s="48">
        <f>ROUND(Data15272025121621[[#This Row],[سایر مزایا]]+Data15272025121621[[#This Row],[اضافه کار]]+Data15272025121621[[#This Row],[جمعه کاری]],0)</f>
        <v>87643476</v>
      </c>
      <c r="AQ27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73625549</v>
      </c>
      <c r="AR27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149599452.5</v>
      </c>
      <c r="AS27" s="47">
        <f>Data15272025121621[[#This Row],[روز بیمه]]*Data15272025121621[[#This Row],[پایه سنواتی]]*Data15272025121621[[#This Row],[تعداد سال کارکرد]]</f>
        <v>0</v>
      </c>
      <c r="AT27" s="53">
        <f>ROUND(Data15272025121621[[#This Row],[جمع حقوق و مزایا مشمول بیمه]]*0.07,0)</f>
        <v>23240647</v>
      </c>
      <c r="AU27" s="53">
        <f>ROUND(Data15272025121621[[#This Row],[جمع حقوق و مزایا مشمول بیمه]]*0.2,0)</f>
        <v>66401849</v>
      </c>
      <c r="AV27" s="53">
        <f>ROUND(Data15272025121621[[#This Row],[جمع حقوق و مزایا مشمول بیمه]]*0.03,0)</f>
        <v>9960277</v>
      </c>
      <c r="AW27" s="53">
        <f>Data15272025121621[[#This Row],[بیمه بیکاری]]+Data15272025121621[[#This Row],[بیمه سهم کارفرما]]+Data15272025121621[[#This Row],[بیمه سهم کارگر]]</f>
        <v>99602773</v>
      </c>
      <c r="AX27" s="48">
        <f>Data15272025121621[[#This Row],[روز بیمه]]*Data15272025121621[[#This Row],[مزد مبنا]]</f>
        <v>187365767</v>
      </c>
      <c r="AY27" s="48">
        <f>Data15272025121621[[#This Row],[حقوق پایه]]+Data15272025121621[[#This Row],[مزایا مستمر مشمول مالیات]]</f>
        <v>260991316</v>
      </c>
      <c r="AZ27" s="49">
        <f>(Data15272025121621[[#This Row],[حقوق پایه]]+Data15272025121621[[#This Row],[ مزایا مشمول]])*Data15272025121621[[#This Row],[بیمه]]</f>
        <v>332009243</v>
      </c>
      <c r="BA27" s="54">
        <f>ROUND(((Data15272025121621[[#This Row],[ساعت کارکرد]]/Data15272025121621[[#This Row],[کارکرد قرارداد شده]])*Data15272025121621[[#This Row],[حقوق قرارداد شده]]),0)</f>
        <v>481608696</v>
      </c>
      <c r="BB27" s="54">
        <f>Data15272025121621[[#This Row],[بیمه سهم کارگر]]</f>
        <v>23240647</v>
      </c>
      <c r="BC27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458368048</v>
      </c>
      <c r="BD27" s="125" t="str">
        <f>_xlfn.XLOOKUP(Data15272025121621[[#This Row],[کد ملی]],emp_info[کد ملی],emp_info[شماره حساب])</f>
        <v>IR640120010000001767102784</v>
      </c>
      <c r="BE27" s="50">
        <f>TRUNC(Data15272025121621[[#This Row],[حقوق خالص]]-Data15272025121621[[#This Row],[کسر مساعده]])</f>
        <v>458368048</v>
      </c>
      <c r="BF27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27" s="2">
        <v>103609196</v>
      </c>
      <c r="BI27" s="2">
        <v>71677756</v>
      </c>
      <c r="BJ27" s="20">
        <f t="shared" si="0"/>
        <v>87643476</v>
      </c>
      <c r="BL27" s="2">
        <f>Data15272025121621[[#This Row],[بیمه]]</f>
        <v>1</v>
      </c>
      <c r="BM27" s="114" t="str" cm="1">
        <f t="array" ref="BM27">DSKKAR1817292231141823[DSK_ID]</f>
        <v>4894290013</v>
      </c>
      <c r="BN27" s="115" t="str" cm="1">
        <f t="array" ref="BN27">DSKKAR1817292231141823[DSK_YY]</f>
        <v>05</v>
      </c>
      <c r="BO27" s="115" t="str" cm="1">
        <f t="array" ref="BO27">DSKKAR1817292231141823[DSK_MM]</f>
        <v>04</v>
      </c>
      <c r="BP27" s="116" t="str" cm="1">
        <f t="array" ref="BP27">DSKKAR1817292231141823[DSK_LISTNO]</f>
        <v>01</v>
      </c>
      <c r="BQ27" s="117">
        <f>_xlfn.XLOOKUP(Data15272025121621[[#This Row],[کد ملی]],emp_info[کد ملی],emp_info[شماره بیمه],"یافت نشد")</f>
        <v>85078070</v>
      </c>
      <c r="BR27" s="116" t="str">
        <f>_xlfn.XLOOKUP(Data15272025121621[[#This Row],[کد ملی]],emp_info[کد ملی],emp_info[نام],"یافت نشد")</f>
        <v>شاهرخ</v>
      </c>
      <c r="BS27" s="116" t="str">
        <f>_xlfn.XLOOKUP(Data15272025121621[[#This Row],[کد ملی]],emp_info[کد ملی],emp_info[نام خانوادگی],"یافت نشد")</f>
        <v>علی پور دستگردی</v>
      </c>
      <c r="BT27" s="116" t="str">
        <f>_xlfn.XLOOKUP(Data15272025121621[[#This Row],[کد ملی]],emp_info[کد ملی],emp_info[نام  پدر],"یافت نشد")</f>
        <v>محمدقلی</v>
      </c>
      <c r="BU27" s="116" t="str">
        <f>_xlfn.XLOOKUP(Data15272025121621[[#This Row],[کد ملی]],emp_info[کد ملی],emp_info[شماره شناسنامه],"یافت نشد")</f>
        <v>963</v>
      </c>
      <c r="BV27" s="116" t="str">
        <f>_xlfn.XLOOKUP(Data15272025121621[[#This Row],[کد ملی]],emp_info[کد ملی],emp_info[محل صدور],"یافت نشد")</f>
        <v>مسجدسلیمان</v>
      </c>
      <c r="BW27" s="116">
        <f>_xlfn.XLOOKUP(Data15272025121621[[#This Row],[کد ملی]],emp_info[کد ملی],emp_info[تاریخ صدور],"یافت نشد")</f>
        <v>0</v>
      </c>
      <c r="BX27" s="116">
        <f>_xlfn.XLOOKUP(Data15272025121621[[#This Row],[کد ملی]],emp_info[کد ملی],emp_info[تاریخ تولد],"یافت نشد")</f>
        <v>13450924</v>
      </c>
      <c r="BY27" s="116" t="str">
        <f>_xlfn.XLOOKUP(Data15272025121621[[#This Row],[کد ملی]],emp_info[کد ملی],emp_info[جنسیت],"یافت نشد")</f>
        <v>مرد</v>
      </c>
      <c r="BZ27" s="116" t="s">
        <v>122</v>
      </c>
      <c r="CA27" s="116" t="str">
        <f>_xlfn.XLOOKUP(Data15272025121621[[#This Row],[کد ملی]],emp_info[کد ملی],emp_info[سمت شغل],"یافت نشد")</f>
        <v>انباردار</v>
      </c>
      <c r="CB27" s="116">
        <f>_xlfn.XLOOKUP(Data15272025121621[[#This Row],[کد ملی]],emp_info[کد ملی],emp_info[تاریخ شروع به کار],"یافت نشد")</f>
        <v>14041101</v>
      </c>
      <c r="CC27" s="118">
        <f>_xlfn.XLOOKUP(Data15272025121621[[#This Row],[کد ملی]],emp_info[کد ملی],emp_info[ [ تاریخ پایان کار] ],"یافت نشد")</f>
        <v>0</v>
      </c>
      <c r="CD27" s="118">
        <f>Data15272025121621[[#This Row],[روز بیمه]]</f>
        <v>31</v>
      </c>
      <c r="CE27" s="118">
        <f>Data15272025121621[[#This Row],[مزد روزانه ]]</f>
        <v>6044057</v>
      </c>
      <c r="CF27" s="118">
        <f>Data15272025121621[[#This Row],[حقوق پایه]]</f>
        <v>187365767</v>
      </c>
      <c r="CG27" s="118">
        <f>Data15272025121621[[#This Row],[ مزایا مشمول]]</f>
        <v>144643476</v>
      </c>
      <c r="CH27" s="118">
        <f>Data15272025121621[[#This Row],[جمع حقوق و مزایا مشمول بیمه]]</f>
        <v>332009243</v>
      </c>
      <c r="CI27" s="117">
        <f>Data15272025121621[[#This Row],[حقوق ناخالص]]</f>
        <v>481608696</v>
      </c>
      <c r="CJ27" s="117">
        <f>Data15272025121621[[#This Row],[بیمه سهم کارگر]]</f>
        <v>23240647</v>
      </c>
      <c r="CK27" s="116">
        <v>16</v>
      </c>
      <c r="CL27" s="116" t="str">
        <f>TEXT(_xlfn.XLOOKUP(Data15272025121621[[#This Row],[کد ملی]],emp_info[کد ملی],emp_info[کد شغل],"یافت نشد"),"000000")</f>
        <v>000255</v>
      </c>
      <c r="CM27" s="116">
        <f>Data15272025121621[[#This Row],[کد ملی]]</f>
        <v>1971354503</v>
      </c>
      <c r="CN27" s="116">
        <f>Data15272025121621[[#This Row],[پایه سنواتی]]*Data15272025121621[[#This Row],[تعداد سال کارکرد]]</f>
        <v>0</v>
      </c>
      <c r="CO27" s="117">
        <f>Data15272025121621[[#This Row],[حق تاهل]]</f>
        <v>5000000</v>
      </c>
    </row>
    <row r="28" spans="1:93" ht="24.95" customHeight="1">
      <c r="A28" s="140" t="str">
        <f>_xlfn.XLOOKUP(Data15272025121621[[#This Row],[کد ملی]],emp_info[کد ملی],emp_info[گروه])</f>
        <v>شاغل</v>
      </c>
      <c r="B28" s="121">
        <f>ROWS($A$1:A22)</f>
        <v>22</v>
      </c>
      <c r="C28" s="121">
        <f>_xlfn.XLOOKUP(Data15272025121621[[#This Row],[کد ملی]],emp_info[کد ملی],emp_info[maliat])</f>
        <v>1</v>
      </c>
      <c r="D28" s="121">
        <f>_xlfn.XLOOKUP(Data15272025121621[[#This Row],[کد ملی]],emp_info[کد ملی],emp_info[بیمه])</f>
        <v>1</v>
      </c>
      <c r="E28" s="121">
        <f>_xlfn.XLOOKUP(Data15272025121621[[#This Row],[کد ملی]],emp_info[کد ملی],emp_info[bank])</f>
        <v>1</v>
      </c>
      <c r="F28" s="5">
        <v>2360307339</v>
      </c>
      <c r="G28" s="47" t="str">
        <f>_xlfn.XLOOKUP(Data15272025121621[[#This Row],[کد ملی]],emp_info[کد ملی],emp_info[نام])&amp;" "&amp;_xlfn.XLOOKUP(Data15272025121621[[#This Row],[کد ملی]],emp_info[کد ملی],emp_info[نام خانوادگی])</f>
        <v>کیوان  ایمانی</v>
      </c>
      <c r="H28" s="47" t="str">
        <f>_xlfn.XLOOKUP(Data15272025121621[[#This Row],[کد ملی]],emp_info[کد ملی],emp_info[وضعیت تاهل],"یافت نشد")</f>
        <v>مجرد</v>
      </c>
      <c r="I28" s="47">
        <f>_xlfn.XLOOKUP(Data15272025121621[[#This Row],[کد ملی]],emp_info[کد ملی],emp_info[تعداد فرزند],"یافت نشد")</f>
        <v>0</v>
      </c>
      <c r="J28" s="47">
        <f>_xlfn.XLOOKUP(Data15272025121621[[#This Row],[کد ملی]],emp_info[کد ملی],emp_info[ساعت کار قرارداد شده],"یافت نشد")</f>
        <v>230</v>
      </c>
      <c r="K28" s="53">
        <f>_xlfn.XLOOKUP(Data15272025121621[[#This Row],[کد ملی]],emp_info[کد ملی],emp_info[حقوق قرارداد شده],"یافت نشد")</f>
        <v>500000000</v>
      </c>
      <c r="L28" s="47">
        <f>_xlfn.XLOOKUP(Data15272025121621[[#This Row],[کد ملی]],emp_info[کد ملی],emp_info[گروه شغلی],"یافت نشد")</f>
        <v>10</v>
      </c>
      <c r="M28" s="48">
        <f>_xlfn.XLOOKUP(Data15272025121621[[#This Row],[کد ملی]],emp_info[کد ملی],emp_info[[مزد روزانه ]],"یافت نشد")</f>
        <v>5867844</v>
      </c>
      <c r="N28" s="47">
        <f>_xlfn.XLOOKUP(Data15272025121621[[#This Row],[کد ملی]],emp_info[کد ملی],emp_info[پایه سنواتی],"یافت نشد")</f>
        <v>168467</v>
      </c>
      <c r="O28" s="47">
        <f>_xlfn.XLOOKUP(Data15272025121621[[#This Row],[کد ملی]],emp_info[کد ملی],emp_info[تعداد سال کارکرد],"یافت نشد")</f>
        <v>0</v>
      </c>
      <c r="P28" s="47">
        <f>_xlfn.XLOOKUP(Data15272025121621[[#This Row],[کد ملی]],emp_info[کد ملی],emp_info[مزد مبنا],"یافت نشد")</f>
        <v>5867844</v>
      </c>
      <c r="Q28" s="47">
        <v>228</v>
      </c>
      <c r="R28" s="47">
        <v>31</v>
      </c>
      <c r="S28" s="47">
        <v>0</v>
      </c>
      <c r="T28" s="47">
        <v>0</v>
      </c>
      <c r="U28" s="49">
        <f>TRUNC(Data15272025121621[[#This Row],[حق ماموریت]]/Data15272025121621[[#This Row],[مزد مبنا]])</f>
        <v>7</v>
      </c>
      <c r="V28" s="47">
        <v>0</v>
      </c>
      <c r="W28" s="53">
        <v>0</v>
      </c>
      <c r="X28" s="53">
        <v>0</v>
      </c>
      <c r="Y28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8" s="53">
        <v>108870090</v>
      </c>
      <c r="AA28" s="49" cm="1">
        <f t="array" ref="AA2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65127740</v>
      </c>
      <c r="AB28" s="49" cm="1">
        <f t="array" ref="AB2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43742350</v>
      </c>
      <c r="AC28" s="53" cm="1">
        <f t="array" ref="AC28">ROUND(5*Data15272025121621[[#This Row],[مزد مبنا]]*(Data15272025121621[[#This Row],[روز بیمه]]/list_info302332152027[تعداد روز ماه]),0)</f>
        <v>29339220</v>
      </c>
      <c r="AD28" s="53">
        <f>ROUND(2.5*(Data15272025121621[[#This Row],[پایه سنواتی]]+Data15272025121621[[#This Row],[مزد روزانه ]])*0,0)</f>
        <v>0</v>
      </c>
      <c r="AE28" s="48" cm="1">
        <f t="array" ref="AE28">ROUND(22000000*Data15272025121621[[#This Row],[روز بیمه]]/list_info302332152027[تعداد روز ماه],0)</f>
        <v>22000000</v>
      </c>
      <c r="AF28" s="48" cm="1">
        <f t="array" ref="AF28">ROUND(list_info302332152027[حق مسکن]*Data15272025121621[[#This Row],[روز بیمه]]/list_info302332152027[تعداد روز ماه],0)</f>
        <v>30000000</v>
      </c>
      <c r="AG28" s="47" cm="1">
        <f t="array" ref="AG28">ROUND(IF(Data15272025121621[[#This Row],[وضعیت تاهل]]="متاهل",list_info302332152027[حق تاهل],0)*Data15272025121621[[#This Row],[روز بیمه]]/list_info302332152027[تعداد روز ماه],0)</f>
        <v>0</v>
      </c>
      <c r="AH28" s="47" cm="1">
        <f t="array" ref="AH28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8" s="57" cm="1">
        <f t="array" ref="AI28">list_info302332152027[[درصد فوق العاده جذب تخصصی ماهیانه ]]*Data15272025121621[[#This Row],[مزد روزانه ]]*Data15272025121621[[#This Row],[روز بیمه]]</f>
        <v>0</v>
      </c>
      <c r="AJ28" s="57" cm="1">
        <f t="array" ref="AJ28">list_info302332152027[درصد فوق العاده بدی آب و هوا]*Data15272025121621[[#This Row],[مزد روزانه ]]*Data15272025121621[[#This Row],[روز بیمه]]</f>
        <v>0</v>
      </c>
      <c r="AK28" s="57" cm="1">
        <f t="array" ref="AK28">list_info302332152027[[فوق العاده جذب تخصصی دوری از خانواده ]]*Data15272025121621[[#This Row],[مزد روزانه ]]*Data15272025121621[[#This Row],[روز بیمه]]</f>
        <v>0</v>
      </c>
      <c r="AL28" s="57" cm="1">
        <f t="array" ref="AL28">list_info302332152027[فوق العاده پارس جنوبی]*Data15272025121621[[#This Row],[مزد روزانه ]]*Data15272025121621[[#This Row],[روز بیمه]]</f>
        <v>0</v>
      </c>
      <c r="AM28" s="53" cm="1">
        <f t="array" ref="AM28">ROUND((Data15272025121621[[#This Row],[روز بیمه]]/list_info302332152027[تعداد روز ماه])*Data15272025121621[[#This Row],[تعداد فرزند]]*list_info302332152027[حق اولاد],0)</f>
        <v>0</v>
      </c>
      <c r="AN28" s="53" cm="1">
        <f t="array" ref="AN28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8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160870090</v>
      </c>
      <c r="AP28" s="48">
        <f>ROUND(Data15272025121621[[#This Row],[سایر مزایا]]+Data15272025121621[[#This Row],[اضافه کار]]+Data15272025121621[[#This Row],[جمعه کاری]],0)</f>
        <v>108870090</v>
      </c>
      <c r="AQ28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28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152878920</v>
      </c>
      <c r="AS28" s="47">
        <f>Data15272025121621[[#This Row],[روز بیمه]]*Data15272025121621[[#This Row],[پایه سنواتی]]*Data15272025121621[[#This Row],[تعداد سال کارکرد]]</f>
        <v>0</v>
      </c>
      <c r="AT28" s="53">
        <f>ROUND(Data15272025121621[[#This Row],[جمع حقوق و مزایا مشمول بیمه]]*0.07,0)</f>
        <v>23994128</v>
      </c>
      <c r="AU28" s="53">
        <f>ROUND(Data15272025121621[[#This Row],[جمع حقوق و مزایا مشمول بیمه]]*0.2,0)</f>
        <v>68554651</v>
      </c>
      <c r="AV28" s="53">
        <f>ROUND(Data15272025121621[[#This Row],[جمع حقوق و مزایا مشمول بیمه]]*0.03,0)</f>
        <v>10283198</v>
      </c>
      <c r="AW28" s="53">
        <f>Data15272025121621[[#This Row],[بیمه بیکاری]]+Data15272025121621[[#This Row],[بیمه سهم کارفرما]]+Data15272025121621[[#This Row],[بیمه سهم کارگر]]</f>
        <v>102831977</v>
      </c>
      <c r="AX28" s="48">
        <f>Data15272025121621[[#This Row],[روز بیمه]]*Data15272025121621[[#This Row],[مزد مبنا]]</f>
        <v>181903164</v>
      </c>
      <c r="AY28" s="48">
        <f>Data15272025121621[[#This Row],[حقوق پایه]]+Data15272025121621[[#This Row],[مزایا مستمر مشمول مالیات]]</f>
        <v>233903164</v>
      </c>
      <c r="AZ28" s="49">
        <f>(Data15272025121621[[#This Row],[حقوق پایه]]+Data15272025121621[[#This Row],[ مزایا مشمول]])*Data15272025121621[[#This Row],[بیمه]]</f>
        <v>342773254</v>
      </c>
      <c r="BA28" s="54">
        <f>ROUND(((Data15272025121621[[#This Row],[ساعت کارکرد]]/Data15272025121621[[#This Row],[کارکرد قرارداد شده]])*Data15272025121621[[#This Row],[حقوق قرارداد شده]]),0)</f>
        <v>495652174</v>
      </c>
      <c r="BB28" s="54">
        <f>Data15272025121621[[#This Row],[بیمه سهم کارگر]]</f>
        <v>23994128</v>
      </c>
      <c r="BC28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471658045</v>
      </c>
      <c r="BD28" s="125" t="str">
        <f>_xlfn.XLOOKUP(Data15272025121621[[#This Row],[کد ملی]],emp_info[کد ملی],emp_info[شماره حساب])</f>
        <v>0122299569002</v>
      </c>
      <c r="BE28" s="50">
        <f>TRUNC(Data15272025121621[[#This Row],[حقوق خالص]]-Data15272025121621[[#This Row],[کسر مساعده]])</f>
        <v>471658045</v>
      </c>
      <c r="BF28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8" s="2">
        <v>130255480</v>
      </c>
      <c r="BI28" s="2">
        <v>87484700</v>
      </c>
      <c r="BJ28" s="20">
        <f t="shared" si="0"/>
        <v>108870090</v>
      </c>
      <c r="BL28" s="2">
        <f>Data15272025121621[[#This Row],[بیمه]]</f>
        <v>1</v>
      </c>
      <c r="BM28" s="114" t="str" cm="1">
        <f t="array" ref="BM28">DSKKAR1817292231141823[DSK_ID]</f>
        <v>4894290013</v>
      </c>
      <c r="BN28" s="115" t="str" cm="1">
        <f t="array" ref="BN28">DSKKAR1817292231141823[DSK_YY]</f>
        <v>05</v>
      </c>
      <c r="BO28" s="115" t="str" cm="1">
        <f t="array" ref="BO28">DSKKAR1817292231141823[DSK_MM]</f>
        <v>04</v>
      </c>
      <c r="BP28" s="116" t="str" cm="1">
        <f t="array" ref="BP28">DSKKAR1817292231141823[DSK_LISTNO]</f>
        <v>01</v>
      </c>
      <c r="BQ28" s="117">
        <f>_xlfn.XLOOKUP(Data15272025121621[[#This Row],[کد ملی]],emp_info[کد ملی],emp_info[شماره بیمه],"یافت نشد")</f>
        <v>54866354</v>
      </c>
      <c r="BR28" s="116" t="str">
        <f>_xlfn.XLOOKUP(Data15272025121621[[#This Row],[کد ملی]],emp_info[کد ملی],emp_info[نام],"یافت نشد")</f>
        <v xml:space="preserve">کیوان </v>
      </c>
      <c r="BS28" s="116" t="str">
        <f>_xlfn.XLOOKUP(Data15272025121621[[#This Row],[کد ملی]],emp_info[کد ملی],emp_info[نام خانوادگی],"یافت نشد")</f>
        <v>ایمانی</v>
      </c>
      <c r="BT28" s="116" t="str">
        <f>_xlfn.XLOOKUP(Data15272025121621[[#This Row],[کد ملی]],emp_info[کد ملی],emp_info[نام  پدر],"یافت نشد")</f>
        <v>جهانگیر</v>
      </c>
      <c r="BU28" s="116">
        <f>_xlfn.XLOOKUP(Data15272025121621[[#This Row],[کد ملی]],emp_info[کد ملی],emp_info[شماره شناسنامه],"یافت نشد")</f>
        <v>2360307339</v>
      </c>
      <c r="BV28" s="116" t="str">
        <f>_xlfn.XLOOKUP(Data15272025121621[[#This Row],[کد ملی]],emp_info[کد ملی],emp_info[محل صدور],"یافت نشد")</f>
        <v>بویراحمد</v>
      </c>
      <c r="BW28" s="116">
        <f>_xlfn.XLOOKUP(Data15272025121621[[#This Row],[کد ملی]],emp_info[کد ملی],emp_info[تاریخ صدور],"یافت نشد")</f>
        <v>0</v>
      </c>
      <c r="BX28" s="116">
        <f>_xlfn.XLOOKUP(Data15272025121621[[#This Row],[کد ملی]],emp_info[کد ملی],emp_info[تاریخ تولد],"یافت نشد")</f>
        <v>13710613</v>
      </c>
      <c r="BY28" s="116" t="str">
        <f>_xlfn.XLOOKUP(Data15272025121621[[#This Row],[کد ملی]],emp_info[کد ملی],emp_info[جنسیت],"یافت نشد")</f>
        <v>مرد</v>
      </c>
      <c r="BZ28" s="116" t="s">
        <v>122</v>
      </c>
      <c r="CA28" s="116" t="str">
        <f>_xlfn.XLOOKUP(Data15272025121621[[#This Row],[کد ملی]],emp_info[کد ملی],emp_info[سمت شغل],"یافت نشد")</f>
        <v>دفتر فنی</v>
      </c>
      <c r="CB28" s="116">
        <f>_xlfn.XLOOKUP(Data15272025121621[[#This Row],[کد ملی]],emp_info[کد ملی],emp_info[تاریخ شروع به کار],"یافت نشد")</f>
        <v>14041101</v>
      </c>
      <c r="CC28" s="118">
        <f>_xlfn.XLOOKUP(Data15272025121621[[#This Row],[کد ملی]],emp_info[کد ملی],emp_info[ [ تاریخ پایان کار] ],"یافت نشد")</f>
        <v>0</v>
      </c>
      <c r="CD28" s="118">
        <f>Data15272025121621[[#This Row],[روز بیمه]]</f>
        <v>31</v>
      </c>
      <c r="CE28" s="118">
        <f>Data15272025121621[[#This Row],[مزد روزانه ]]</f>
        <v>5867844</v>
      </c>
      <c r="CF28" s="118">
        <f>Data15272025121621[[#This Row],[حقوق پایه]]</f>
        <v>181903164</v>
      </c>
      <c r="CG28" s="118">
        <f>Data15272025121621[[#This Row],[ مزایا مشمول]]</f>
        <v>160870090</v>
      </c>
      <c r="CH28" s="118">
        <f>Data15272025121621[[#This Row],[جمع حقوق و مزایا مشمول بیمه]]</f>
        <v>342773254</v>
      </c>
      <c r="CI28" s="117">
        <f>Data15272025121621[[#This Row],[حقوق ناخالص]]</f>
        <v>495652174</v>
      </c>
      <c r="CJ28" s="117">
        <f>Data15272025121621[[#This Row],[بیمه سهم کارگر]]</f>
        <v>23994128</v>
      </c>
      <c r="CK28" s="116">
        <v>17</v>
      </c>
      <c r="CL28" s="116" t="str">
        <f>TEXT(_xlfn.XLOOKUP(Data15272025121621[[#This Row],[کد ملی]],emp_info[کد ملی],emp_info[کد شغل],"یافت نشد"),"000000")</f>
        <v>009062</v>
      </c>
      <c r="CM28" s="116">
        <f>Data15272025121621[[#This Row],[کد ملی]]</f>
        <v>2360307339</v>
      </c>
      <c r="CN28" s="116">
        <f>Data15272025121621[[#This Row],[پایه سنواتی]]*Data15272025121621[[#This Row],[تعداد سال کارکرد]]</f>
        <v>0</v>
      </c>
      <c r="CO28" s="117">
        <f>Data15272025121621[[#This Row],[حق تاهل]]</f>
        <v>0</v>
      </c>
    </row>
    <row r="29" spans="1:93" ht="24.95" customHeight="1">
      <c r="A29" s="140" t="str">
        <f>_xlfn.XLOOKUP(Data15272025121621[[#This Row],[کد ملی]],emp_info[کد ملی],emp_info[گروه])</f>
        <v>شاغل</v>
      </c>
      <c r="B29" s="121">
        <f>ROWS($A$1:A23)</f>
        <v>23</v>
      </c>
      <c r="C29" s="121">
        <f>_xlfn.XLOOKUP(Data15272025121621[[#This Row],[کد ملی]],emp_info[کد ملی],emp_info[maliat])</f>
        <v>1</v>
      </c>
      <c r="D29" s="121">
        <f>_xlfn.XLOOKUP(Data15272025121621[[#This Row],[کد ملی]],emp_info[کد ملی],emp_info[بیمه])</f>
        <v>1</v>
      </c>
      <c r="E29" s="121">
        <f>_xlfn.XLOOKUP(Data15272025121621[[#This Row],[کد ملی]],emp_info[کد ملی],emp_info[bank])</f>
        <v>1</v>
      </c>
      <c r="F29" s="5">
        <v>2301405461</v>
      </c>
      <c r="G29" s="47" t="str">
        <f>_xlfn.XLOOKUP(Data15272025121621[[#This Row],[کد ملی]],emp_info[کد ملی],emp_info[نام])&amp;" "&amp;_xlfn.XLOOKUP(Data15272025121621[[#This Row],[کد ملی]],emp_info[کد ملی],emp_info[نام خانوادگی])</f>
        <v>محمدرضا درخشان علمدارلو</v>
      </c>
      <c r="H29" s="47" t="str">
        <f>_xlfn.XLOOKUP(Data15272025121621[[#This Row],[کد ملی]],emp_info[کد ملی],emp_info[وضعیت تاهل],"یافت نشد")</f>
        <v>مجرد</v>
      </c>
      <c r="I29" s="47">
        <f>_xlfn.XLOOKUP(Data15272025121621[[#This Row],[کد ملی]],emp_info[کد ملی],emp_info[تعداد فرزند],"یافت نشد")</f>
        <v>0</v>
      </c>
      <c r="J29" s="47">
        <f>_xlfn.XLOOKUP(Data15272025121621[[#This Row],[کد ملی]],emp_info[کد ملی],emp_info[ساعت کار قرارداد شده],"یافت نشد")</f>
        <v>230</v>
      </c>
      <c r="K29" s="53">
        <f>_xlfn.XLOOKUP(Data15272025121621[[#This Row],[کد ملی]],emp_info[کد ملی],emp_info[حقوق قرارداد شده],"یافت نشد")</f>
        <v>392000000</v>
      </c>
      <c r="L29" s="47">
        <f>_xlfn.XLOOKUP(Data15272025121621[[#This Row],[کد ملی]],emp_info[کد ملی],emp_info[گروه شغلی],"یافت نشد")</f>
        <v>10</v>
      </c>
      <c r="M29" s="48">
        <f>_xlfn.XLOOKUP(Data15272025121621[[#This Row],[کد ملی]],emp_info[کد ملی],emp_info[[مزد روزانه ]],"یافت نشد")</f>
        <v>5867844</v>
      </c>
      <c r="N29" s="47">
        <f>_xlfn.XLOOKUP(Data15272025121621[[#This Row],[کد ملی]],emp_info[کد ملی],emp_info[پایه سنواتی],"یافت نشد")</f>
        <v>168467</v>
      </c>
      <c r="O29" s="47">
        <f>_xlfn.XLOOKUP(Data15272025121621[[#This Row],[کد ملی]],emp_info[کد ملی],emp_info[تعداد سال کارکرد],"یافت نشد")</f>
        <v>0</v>
      </c>
      <c r="P29" s="47">
        <f>_xlfn.XLOOKUP(Data15272025121621[[#This Row],[کد ملی]],emp_info[کد ملی],emp_info[مزد مبنا],"یافت نشد")</f>
        <v>5867844</v>
      </c>
      <c r="Q29" s="47">
        <v>205</v>
      </c>
      <c r="R29" s="47">
        <v>31</v>
      </c>
      <c r="S29" s="47">
        <v>0</v>
      </c>
      <c r="T29" s="47">
        <v>0</v>
      </c>
      <c r="U29" s="49">
        <f>TRUNC(Data15272025121621[[#This Row],[حق ماموریت]]/Data15272025121621[[#This Row],[مزد مبنا]])</f>
        <v>2</v>
      </c>
      <c r="V29" s="47">
        <v>0</v>
      </c>
      <c r="W29" s="53">
        <v>0</v>
      </c>
      <c r="X29" s="53">
        <v>0</v>
      </c>
      <c r="Y29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29" s="53">
        <v>35739655</v>
      </c>
      <c r="AA29" s="49" cm="1">
        <f t="array" ref="AA2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21380004</v>
      </c>
      <c r="AB29" s="49" cm="1">
        <f t="array" ref="AB2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14359651</v>
      </c>
      <c r="AC29" s="53" cm="1">
        <f t="array" ref="AC29">ROUND(5*Data15272025121621[[#This Row],[مزد مبنا]]*(Data15272025121621[[#This Row],[روز بیمه]]/list_info302332152027[تعداد روز ماه]),0)</f>
        <v>29339220</v>
      </c>
      <c r="AD29" s="53">
        <f>ROUND(2.5*(Data15272025121621[[#This Row],[پایه سنواتی]]+Data15272025121621[[#This Row],[مزد روزانه ]])*0,0)</f>
        <v>0</v>
      </c>
      <c r="AE29" s="48" cm="1">
        <f t="array" ref="AE29">ROUND(22000000*Data15272025121621[[#This Row],[روز بیمه]]/list_info302332152027[تعداد روز ماه],0)</f>
        <v>22000000</v>
      </c>
      <c r="AF29" s="48" cm="1">
        <f t="array" ref="AF29">ROUND(list_info302332152027[حق مسکن]*Data15272025121621[[#This Row],[روز بیمه]]/list_info302332152027[تعداد روز ماه],0)</f>
        <v>30000000</v>
      </c>
      <c r="AG29" s="47" cm="1">
        <f t="array" ref="AG29">ROUND(IF(Data15272025121621[[#This Row],[وضعیت تاهل]]="متاهل",list_info302332152027[حق تاهل],0)*Data15272025121621[[#This Row],[روز بیمه]]/list_info302332152027[تعداد روز ماه],0)</f>
        <v>0</v>
      </c>
      <c r="AH29" s="47" cm="1">
        <f t="array" ref="AH29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29" s="57" cm="1">
        <f t="array" ref="AI29">list_info302332152027[[درصد فوق العاده جذب تخصصی ماهیانه ]]*Data15272025121621[[#This Row],[مزد روزانه ]]*Data15272025121621[[#This Row],[روز بیمه]]</f>
        <v>0</v>
      </c>
      <c r="AJ29" s="57" cm="1">
        <f t="array" ref="AJ29">list_info302332152027[درصد فوق العاده بدی آب و هوا]*Data15272025121621[[#This Row],[مزد روزانه ]]*Data15272025121621[[#This Row],[روز بیمه]]</f>
        <v>0</v>
      </c>
      <c r="AK29" s="57" cm="1">
        <f t="array" ref="AK29">list_info302332152027[[فوق العاده جذب تخصصی دوری از خانواده ]]*Data15272025121621[[#This Row],[مزد روزانه ]]*Data15272025121621[[#This Row],[روز بیمه]]</f>
        <v>0</v>
      </c>
      <c r="AL29" s="57" cm="1">
        <f t="array" ref="AL29">list_info302332152027[فوق العاده پارس جنوبی]*Data15272025121621[[#This Row],[مزد روزانه ]]*Data15272025121621[[#This Row],[روز بیمه]]</f>
        <v>0</v>
      </c>
      <c r="AM29" s="53" cm="1">
        <f t="array" ref="AM29">ROUND((Data15272025121621[[#This Row],[روز بیمه]]/list_info302332152027[تعداد روز ماه])*Data15272025121621[[#This Row],[تعداد فرزند]]*list_info302332152027[حق اولاد],0)</f>
        <v>0</v>
      </c>
      <c r="AN29" s="53" cm="1">
        <f t="array" ref="AN29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29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87739655</v>
      </c>
      <c r="AP29" s="48">
        <f>ROUND(Data15272025121621[[#This Row],[سایر مزایا]]+Data15272025121621[[#This Row],[اضافه کار]]+Data15272025121621[[#This Row],[جمعه کاری]],0)</f>
        <v>35739655</v>
      </c>
      <c r="AQ29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29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79748485</v>
      </c>
      <c r="AS29" s="47">
        <f>Data15272025121621[[#This Row],[روز بیمه]]*Data15272025121621[[#This Row],[پایه سنواتی]]*Data15272025121621[[#This Row],[تعداد سال کارکرد]]</f>
        <v>0</v>
      </c>
      <c r="AT29" s="53">
        <f>ROUND(Data15272025121621[[#This Row],[جمع حقوق و مزایا مشمول بیمه]]*0.07,0)</f>
        <v>18874997</v>
      </c>
      <c r="AU29" s="53">
        <f>ROUND(Data15272025121621[[#This Row],[جمع حقوق و مزایا مشمول بیمه]]*0.2,0)</f>
        <v>53928564</v>
      </c>
      <c r="AV29" s="53">
        <f>ROUND(Data15272025121621[[#This Row],[جمع حقوق و مزایا مشمول بیمه]]*0.03,0)</f>
        <v>8089285</v>
      </c>
      <c r="AW29" s="53">
        <f>Data15272025121621[[#This Row],[بیمه بیکاری]]+Data15272025121621[[#This Row],[بیمه سهم کارفرما]]+Data15272025121621[[#This Row],[بیمه سهم کارگر]]</f>
        <v>80892846</v>
      </c>
      <c r="AX29" s="48">
        <f>Data15272025121621[[#This Row],[روز بیمه]]*Data15272025121621[[#This Row],[مزد مبنا]]</f>
        <v>181903164</v>
      </c>
      <c r="AY29" s="48">
        <f>Data15272025121621[[#This Row],[حقوق پایه]]+Data15272025121621[[#This Row],[مزایا مستمر مشمول مالیات]]</f>
        <v>233903164</v>
      </c>
      <c r="AZ29" s="49">
        <f>(Data15272025121621[[#This Row],[حقوق پایه]]+Data15272025121621[[#This Row],[ مزایا مشمول]])*Data15272025121621[[#This Row],[بیمه]]</f>
        <v>269642819</v>
      </c>
      <c r="BA29" s="54">
        <f>ROUND(((Data15272025121621[[#This Row],[ساعت کارکرد]]/Data15272025121621[[#This Row],[کارکرد قرارداد شده]])*Data15272025121621[[#This Row],[حقوق قرارداد شده]]),0)</f>
        <v>349391304</v>
      </c>
      <c r="BB29" s="54">
        <f>Data15272025121621[[#This Row],[بیمه سهم کارگر]]</f>
        <v>18874997</v>
      </c>
      <c r="BC29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330516307</v>
      </c>
      <c r="BD29" s="125" t="str">
        <f>_xlfn.XLOOKUP(Data15272025121621[[#This Row],[کد ملی]],emp_info[کد ملی],emp_info[شماره حساب])</f>
        <v>0377147821006</v>
      </c>
      <c r="BE29" s="50">
        <f>TRUNC(Data15272025121621[[#This Row],[حقوق خالص]]-Data15272025121621[[#This Row],[کسر مساعده]])</f>
        <v>330516307</v>
      </c>
      <c r="BF29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29" s="2">
        <v>42760008</v>
      </c>
      <c r="BI29" s="2">
        <v>28719302</v>
      </c>
      <c r="BJ29" s="20">
        <f t="shared" si="0"/>
        <v>35739655</v>
      </c>
      <c r="BL29" s="2">
        <f>Data15272025121621[[#This Row],[بیمه]]</f>
        <v>1</v>
      </c>
      <c r="BM29" s="114" t="str" cm="1">
        <f t="array" ref="BM29">DSKKAR1817292231141823[DSK_ID]</f>
        <v>4894290013</v>
      </c>
      <c r="BN29" s="115" t="str" cm="1">
        <f t="array" ref="BN29">DSKKAR1817292231141823[DSK_YY]</f>
        <v>05</v>
      </c>
      <c r="BO29" s="115" t="str" cm="1">
        <f t="array" ref="BO29">DSKKAR1817292231141823[DSK_MM]</f>
        <v>04</v>
      </c>
      <c r="BP29" s="116" t="str" cm="1">
        <f t="array" ref="BP29">DSKKAR1817292231141823[DSK_LISTNO]</f>
        <v>01</v>
      </c>
      <c r="BQ29" s="117">
        <f>_xlfn.XLOOKUP(Data15272025121621[[#This Row],[کد ملی]],emp_info[کد ملی],emp_info[شماره بیمه],"یافت نشد")</f>
        <v>14274347</v>
      </c>
      <c r="BR29" s="116" t="str">
        <f>_xlfn.XLOOKUP(Data15272025121621[[#This Row],[کد ملی]],emp_info[کد ملی],emp_info[نام],"یافت نشد")</f>
        <v>محمدرضا</v>
      </c>
      <c r="BS29" s="116" t="str">
        <f>_xlfn.XLOOKUP(Data15272025121621[[#This Row],[کد ملی]],emp_info[کد ملی],emp_info[نام خانوادگی],"یافت نشد")</f>
        <v>درخشان علمدارلو</v>
      </c>
      <c r="BT29" s="116" t="str">
        <f>_xlfn.XLOOKUP(Data15272025121621[[#This Row],[کد ملی]],emp_info[کد ملی],emp_info[نام  پدر],"یافت نشد")</f>
        <v>الامان</v>
      </c>
      <c r="BU29" s="116" t="str">
        <f>_xlfn.XLOOKUP(Data15272025121621[[#This Row],[کد ملی]],emp_info[کد ملی],emp_info[شماره شناسنامه],"یافت نشد")</f>
        <v>243</v>
      </c>
      <c r="BV29" s="116" t="str">
        <f>_xlfn.XLOOKUP(Data15272025121621[[#This Row],[کد ملی]],emp_info[کد ملی],emp_info[محل صدور],"یافت نشد")</f>
        <v>زرقان</v>
      </c>
      <c r="BW29" s="116">
        <f>_xlfn.XLOOKUP(Data15272025121621[[#This Row],[کد ملی]],emp_info[کد ملی],emp_info[تاریخ صدور],"یافت نشد")</f>
        <v>0</v>
      </c>
      <c r="BX29" s="116">
        <f>_xlfn.XLOOKUP(Data15272025121621[[#This Row],[کد ملی]],emp_info[کد ملی],emp_info[تاریخ تولد],"یافت نشد")</f>
        <v>13640630</v>
      </c>
      <c r="BY29" s="116" t="str">
        <f>_xlfn.XLOOKUP(Data15272025121621[[#This Row],[کد ملی]],emp_info[کد ملی],emp_info[جنسیت],"یافت نشد")</f>
        <v>مرد</v>
      </c>
      <c r="BZ29" s="116" t="s">
        <v>122</v>
      </c>
      <c r="CA29" s="116" t="str">
        <f>_xlfn.XLOOKUP(Data15272025121621[[#This Row],[کد ملی]],emp_info[کد ملی],emp_info[سمت شغل],"یافت نشد")</f>
        <v>کمک انباردار</v>
      </c>
      <c r="CB29" s="116">
        <f>_xlfn.XLOOKUP(Data15272025121621[[#This Row],[کد ملی]],emp_info[کد ملی],emp_info[تاریخ شروع به کار],"یافت نشد")</f>
        <v>14041101</v>
      </c>
      <c r="CC29" s="118">
        <f>_xlfn.XLOOKUP(Data15272025121621[[#This Row],[کد ملی]],emp_info[کد ملی],emp_info[ [ تاریخ پایان کار] ],"یافت نشد")</f>
        <v>0</v>
      </c>
      <c r="CD29" s="118">
        <f>Data15272025121621[[#This Row],[روز بیمه]]</f>
        <v>31</v>
      </c>
      <c r="CE29" s="118">
        <f>Data15272025121621[[#This Row],[مزد روزانه ]]</f>
        <v>5867844</v>
      </c>
      <c r="CF29" s="118">
        <f>Data15272025121621[[#This Row],[حقوق پایه]]</f>
        <v>181903164</v>
      </c>
      <c r="CG29" s="118">
        <f>Data15272025121621[[#This Row],[ مزایا مشمول]]</f>
        <v>87739655</v>
      </c>
      <c r="CH29" s="118">
        <f>Data15272025121621[[#This Row],[جمع حقوق و مزایا مشمول بیمه]]</f>
        <v>269642819</v>
      </c>
      <c r="CI29" s="117">
        <f>Data15272025121621[[#This Row],[حقوق ناخالص]]</f>
        <v>349391304</v>
      </c>
      <c r="CJ29" s="117">
        <f>Data15272025121621[[#This Row],[بیمه سهم کارگر]]</f>
        <v>18874997</v>
      </c>
      <c r="CK29" s="116">
        <v>18</v>
      </c>
      <c r="CL29" s="116" t="str">
        <f>TEXT(_xlfn.XLOOKUP(Data15272025121621[[#This Row],[کد ملی]],emp_info[کد ملی],emp_info[کد شغل],"یافت نشد"),"000000")</f>
        <v>024109</v>
      </c>
      <c r="CM29" s="116">
        <f>Data15272025121621[[#This Row],[کد ملی]]</f>
        <v>2301405461</v>
      </c>
      <c r="CN29" s="116">
        <f>Data15272025121621[[#This Row],[پایه سنواتی]]*Data15272025121621[[#This Row],[تعداد سال کارکرد]]</f>
        <v>0</v>
      </c>
      <c r="CO29" s="117">
        <f>Data15272025121621[[#This Row],[حق تاهل]]</f>
        <v>0</v>
      </c>
    </row>
    <row r="30" spans="1:93" ht="24.95" customHeight="1">
      <c r="A30" s="140" t="str">
        <f>_xlfn.XLOOKUP(Data15272025121621[[#This Row],[کد ملی]],emp_info[کد ملی],emp_info[گروه])</f>
        <v>شاغل</v>
      </c>
      <c r="B30" s="121">
        <f>ROWS($A$1:A24)</f>
        <v>24</v>
      </c>
      <c r="C30" s="121">
        <f>_xlfn.XLOOKUP(Data15272025121621[[#This Row],[کد ملی]],emp_info[کد ملی],emp_info[maliat])</f>
        <v>1</v>
      </c>
      <c r="D30" s="121">
        <f>_xlfn.XLOOKUP(Data15272025121621[[#This Row],[کد ملی]],emp_info[کد ملی],emp_info[بیمه])</f>
        <v>1</v>
      </c>
      <c r="E30" s="121">
        <f>_xlfn.XLOOKUP(Data15272025121621[[#This Row],[کد ملی]],emp_info[کد ملی],emp_info[bank])</f>
        <v>1</v>
      </c>
      <c r="F30" s="5">
        <v>2440057436</v>
      </c>
      <c r="G30" s="47" t="str">
        <f>_xlfn.XLOOKUP(Data15272025121621[[#This Row],[کد ملی]],emp_info[کد ملی],emp_info[نام])&amp;" "&amp;_xlfn.XLOOKUP(Data15272025121621[[#This Row],[کد ملی]],emp_info[کد ملی],emp_info[نام خانوادگی])</f>
        <v>محمدرضا امیری</v>
      </c>
      <c r="H30" s="47" t="str">
        <f>_xlfn.XLOOKUP(Data15272025121621[[#This Row],[کد ملی]],emp_info[کد ملی],emp_info[وضعیت تاهل],"یافت نشد")</f>
        <v>مجرد</v>
      </c>
      <c r="I30" s="47">
        <f>_xlfn.XLOOKUP(Data15272025121621[[#This Row],[کد ملی]],emp_info[کد ملی],emp_info[تعداد فرزند],"یافت نشد")</f>
        <v>0</v>
      </c>
      <c r="J30" s="47">
        <f>_xlfn.XLOOKUP(Data15272025121621[[#This Row],[کد ملی]],emp_info[کد ملی],emp_info[ساعت کار قرارداد شده],"یافت نشد")</f>
        <v>230</v>
      </c>
      <c r="K30" s="53">
        <f>_xlfn.XLOOKUP(Data15272025121621[[#This Row],[کد ملی]],emp_info[کد ملی],emp_info[حقوق قرارداد شده],"یافت نشد")</f>
        <v>392000000</v>
      </c>
      <c r="L30" s="47">
        <f>_xlfn.XLOOKUP(Data15272025121621[[#This Row],[کد ملی]],emp_info[کد ملی],emp_info[گروه شغلی],"یافت نشد")</f>
        <v>10</v>
      </c>
      <c r="M30" s="48">
        <f>_xlfn.XLOOKUP(Data15272025121621[[#This Row],[کد ملی]],emp_info[کد ملی],emp_info[[مزد روزانه ]],"یافت نشد")</f>
        <v>5867844</v>
      </c>
      <c r="N30" s="47">
        <f>_xlfn.XLOOKUP(Data15272025121621[[#This Row],[کد ملی]],emp_info[کد ملی],emp_info[پایه سنواتی],"یافت نشد")</f>
        <v>168467</v>
      </c>
      <c r="O30" s="47">
        <f>_xlfn.XLOOKUP(Data15272025121621[[#This Row],[کد ملی]],emp_info[کد ملی],emp_info[تعداد سال کارکرد],"یافت نشد")</f>
        <v>0</v>
      </c>
      <c r="P30" s="47">
        <f>_xlfn.XLOOKUP(Data15272025121621[[#This Row],[کد ملی]],emp_info[کد ملی],emp_info[مزد مبنا],"یافت نشد")</f>
        <v>5867844</v>
      </c>
      <c r="Q30" s="47">
        <v>230</v>
      </c>
      <c r="R30" s="47">
        <v>31</v>
      </c>
      <c r="S30" s="47">
        <v>0</v>
      </c>
      <c r="T30" s="47">
        <v>0</v>
      </c>
      <c r="U30" s="49">
        <f>TRUNC(Data15272025121621[[#This Row],[حق ماموریت]]/Data15272025121621[[#This Row],[مزد مبنا]])</f>
        <v>3</v>
      </c>
      <c r="V30" s="47">
        <v>0</v>
      </c>
      <c r="W30" s="53">
        <v>0</v>
      </c>
      <c r="X30" s="53">
        <v>0</v>
      </c>
      <c r="Y30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0" s="53">
        <v>57044003</v>
      </c>
      <c r="AA30" s="49" cm="1">
        <f t="array" ref="AA3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34124588</v>
      </c>
      <c r="AB30" s="49" cm="1">
        <f t="array" ref="AB3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22919415</v>
      </c>
      <c r="AC30" s="53" cm="1">
        <f t="array" ref="AC30">ROUND(5*Data15272025121621[[#This Row],[مزد مبنا]]*(Data15272025121621[[#This Row],[روز بیمه]]/list_info302332152027[تعداد روز ماه]),0)</f>
        <v>29339220</v>
      </c>
      <c r="AD30" s="53">
        <f>ROUND(2.5*(Data15272025121621[[#This Row],[پایه سنواتی]]+Data15272025121621[[#This Row],[مزد روزانه ]])*0,0)</f>
        <v>0</v>
      </c>
      <c r="AE30" s="48" cm="1">
        <f t="array" ref="AE30">ROUND(22000000*Data15272025121621[[#This Row],[روز بیمه]]/list_info302332152027[تعداد روز ماه],0)</f>
        <v>22000000</v>
      </c>
      <c r="AF30" s="48" cm="1">
        <f t="array" ref="AF30">ROUND(list_info302332152027[حق مسکن]*Data15272025121621[[#This Row],[روز بیمه]]/list_info302332152027[تعداد روز ماه],0)</f>
        <v>30000000</v>
      </c>
      <c r="AG30" s="47" cm="1">
        <f t="array" ref="AG30">ROUND(IF(Data15272025121621[[#This Row],[وضعیت تاهل]]="متاهل",list_info302332152027[حق تاهل],0)*Data15272025121621[[#This Row],[روز بیمه]]/list_info302332152027[تعداد روز ماه],0)</f>
        <v>0</v>
      </c>
      <c r="AH30" s="47" cm="1">
        <f t="array" ref="AH30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0" s="57" cm="1">
        <f t="array" ref="AI30">list_info302332152027[[درصد فوق العاده جذب تخصصی ماهیانه ]]*Data15272025121621[[#This Row],[مزد روزانه ]]*Data15272025121621[[#This Row],[روز بیمه]]</f>
        <v>0</v>
      </c>
      <c r="AJ30" s="57" cm="1">
        <f t="array" ref="AJ30">list_info302332152027[درصد فوق العاده بدی آب و هوا]*Data15272025121621[[#This Row],[مزد روزانه ]]*Data15272025121621[[#This Row],[روز بیمه]]</f>
        <v>0</v>
      </c>
      <c r="AK30" s="57" cm="1">
        <f t="array" ref="AK30">list_info302332152027[[فوق العاده جذب تخصصی دوری از خانواده ]]*Data15272025121621[[#This Row],[مزد روزانه ]]*Data15272025121621[[#This Row],[روز بیمه]]</f>
        <v>0</v>
      </c>
      <c r="AL30" s="57" cm="1">
        <f t="array" ref="AL30">list_info302332152027[فوق العاده پارس جنوبی]*Data15272025121621[[#This Row],[مزد روزانه ]]*Data15272025121621[[#This Row],[روز بیمه]]</f>
        <v>0</v>
      </c>
      <c r="AM30" s="53" cm="1">
        <f t="array" ref="AM30">ROUND((Data15272025121621[[#This Row],[روز بیمه]]/list_info302332152027[تعداد روز ماه])*Data15272025121621[[#This Row],[تعداد فرزند]]*list_info302332152027[حق اولاد],0)</f>
        <v>0</v>
      </c>
      <c r="AN30" s="53" cm="1">
        <f t="array" ref="AN30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0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109044003</v>
      </c>
      <c r="AP30" s="48">
        <f>ROUND(Data15272025121621[[#This Row],[سایر مزایا]]+Data15272025121621[[#This Row],[اضافه کار]]+Data15272025121621[[#This Row],[جمعه کاری]],0)</f>
        <v>57044003</v>
      </c>
      <c r="AQ30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30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101052833</v>
      </c>
      <c r="AS30" s="47">
        <f>Data15272025121621[[#This Row],[روز بیمه]]*Data15272025121621[[#This Row],[پایه سنواتی]]*Data15272025121621[[#This Row],[تعداد سال کارکرد]]</f>
        <v>0</v>
      </c>
      <c r="AT30" s="53">
        <f>ROUND(Data15272025121621[[#This Row],[جمع حقوق و مزایا مشمول بیمه]]*0.07,0)</f>
        <v>20366302</v>
      </c>
      <c r="AU30" s="53">
        <f>ROUND(Data15272025121621[[#This Row],[جمع حقوق و مزایا مشمول بیمه]]*0.2,0)</f>
        <v>58189433</v>
      </c>
      <c r="AV30" s="53">
        <f>ROUND(Data15272025121621[[#This Row],[جمع حقوق و مزایا مشمول بیمه]]*0.03,0)</f>
        <v>8728415</v>
      </c>
      <c r="AW30" s="53">
        <f>Data15272025121621[[#This Row],[بیمه بیکاری]]+Data15272025121621[[#This Row],[بیمه سهم کارفرما]]+Data15272025121621[[#This Row],[بیمه سهم کارگر]]</f>
        <v>87284150</v>
      </c>
      <c r="AX30" s="48">
        <f>Data15272025121621[[#This Row],[روز بیمه]]*Data15272025121621[[#This Row],[مزد مبنا]]</f>
        <v>181903164</v>
      </c>
      <c r="AY30" s="48">
        <f>Data15272025121621[[#This Row],[حقوق پایه]]+Data15272025121621[[#This Row],[مزایا مستمر مشمول مالیات]]</f>
        <v>233903164</v>
      </c>
      <c r="AZ30" s="49">
        <f>(Data15272025121621[[#This Row],[حقوق پایه]]+Data15272025121621[[#This Row],[ مزایا مشمول]])*Data15272025121621[[#This Row],[بیمه]]</f>
        <v>290947167</v>
      </c>
      <c r="BA30" s="54">
        <f>ROUND(((Data15272025121621[[#This Row],[ساعت کارکرد]]/Data15272025121621[[#This Row],[کارکرد قرارداد شده]])*Data15272025121621[[#This Row],[حقوق قرارداد شده]]),0)</f>
        <v>392000000</v>
      </c>
      <c r="BB30" s="54">
        <f>Data15272025121621[[#This Row],[بیمه سهم کارگر]]</f>
        <v>20366302</v>
      </c>
      <c r="BC30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371633698</v>
      </c>
      <c r="BD30" s="125" t="str">
        <f>_xlfn.XLOOKUP(Data15272025121621[[#This Row],[کد ملی]],emp_info[کد ملی],emp_info[شماره حساب])</f>
        <v>0322864719001</v>
      </c>
      <c r="BE30" s="50">
        <f>Data15272025121621[[#This Row],[حقوق ناخالص]]</f>
        <v>392000000</v>
      </c>
      <c r="BF30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G30" s="2" t="s">
        <v>549</v>
      </c>
      <c r="BH30" s="2">
        <v>68249176</v>
      </c>
      <c r="BI30" s="2">
        <v>45838830</v>
      </c>
      <c r="BJ30" s="20">
        <f t="shared" si="0"/>
        <v>57044003</v>
      </c>
      <c r="BL30" s="2">
        <f>Data15272025121621[[#This Row],[بیمه]]</f>
        <v>1</v>
      </c>
      <c r="BM30" s="114" t="str" cm="1">
        <f t="array" ref="BM30">DSKKAR1817292231141823[DSK_ID]</f>
        <v>4894290013</v>
      </c>
      <c r="BN30" s="115" t="str" cm="1">
        <f t="array" ref="BN30">DSKKAR1817292231141823[DSK_YY]</f>
        <v>05</v>
      </c>
      <c r="BO30" s="115" t="str" cm="1">
        <f t="array" ref="BO30">DSKKAR1817292231141823[DSK_MM]</f>
        <v>04</v>
      </c>
      <c r="BP30" s="116" t="str" cm="1">
        <f t="array" ref="BP30">DSKKAR1817292231141823[DSK_LISTNO]</f>
        <v>01</v>
      </c>
      <c r="BQ30" s="117">
        <f>_xlfn.XLOOKUP(Data15272025121621[[#This Row],[کد ملی]],emp_info[کد ملی],emp_info[شماره بیمه],"یافت نشد")</f>
        <v>63970636</v>
      </c>
      <c r="BR30" s="116" t="str">
        <f>_xlfn.XLOOKUP(Data15272025121621[[#This Row],[کد ملی]],emp_info[کد ملی],emp_info[نام],"یافت نشد")</f>
        <v>محمدرضا</v>
      </c>
      <c r="BS30" s="116" t="str">
        <f>_xlfn.XLOOKUP(Data15272025121621[[#This Row],[کد ملی]],emp_info[کد ملی],emp_info[نام خانوادگی],"یافت نشد")</f>
        <v>امیری</v>
      </c>
      <c r="BT30" s="116" t="str">
        <f>_xlfn.XLOOKUP(Data15272025121621[[#This Row],[کد ملی]],emp_info[کد ملی],emp_info[نام  پدر],"یافت نشد")</f>
        <v>عباس</v>
      </c>
      <c r="BU30" s="116" t="str">
        <f>_xlfn.XLOOKUP(Data15272025121621[[#This Row],[کد ملی]],emp_info[کد ملی],emp_info[شماره شناسنامه],"یافت نشد")</f>
        <v>2440057436</v>
      </c>
      <c r="BV30" s="116" t="str">
        <f>_xlfn.XLOOKUP(Data15272025121621[[#This Row],[کد ملی]],emp_info[کد ملی],emp_info[محل صدور],"یافت نشد")</f>
        <v>فراشبند</v>
      </c>
      <c r="BW30" s="116">
        <f>_xlfn.XLOOKUP(Data15272025121621[[#This Row],[کد ملی]],emp_info[کد ملی],emp_info[تاریخ صدور],"یافت نشد")</f>
        <v>0</v>
      </c>
      <c r="BX30" s="116">
        <f>_xlfn.XLOOKUP(Data15272025121621[[#This Row],[کد ملی]],emp_info[کد ملی],emp_info[تاریخ تولد],"یافت نشد")</f>
        <v>13680101</v>
      </c>
      <c r="BY30" s="116" t="str">
        <f>_xlfn.XLOOKUP(Data15272025121621[[#This Row],[کد ملی]],emp_info[کد ملی],emp_info[جنسیت],"یافت نشد")</f>
        <v>مرد</v>
      </c>
      <c r="BZ30" s="116" t="s">
        <v>122</v>
      </c>
      <c r="CA30" s="116" t="str">
        <f>_xlfn.XLOOKUP(Data15272025121621[[#This Row],[کد ملی]],emp_info[کد ملی],emp_info[سمت شغل],"یافت نشد")</f>
        <v>کمک انباردار</v>
      </c>
      <c r="CB30" s="116">
        <f>_xlfn.XLOOKUP(Data15272025121621[[#This Row],[کد ملی]],emp_info[کد ملی],emp_info[تاریخ شروع به کار],"یافت نشد")</f>
        <v>14041101</v>
      </c>
      <c r="CC30" s="118">
        <f>_xlfn.XLOOKUP(Data15272025121621[[#This Row],[کد ملی]],emp_info[کد ملی],emp_info[ [ تاریخ پایان کار] ],"یافت نشد")</f>
        <v>0</v>
      </c>
      <c r="CD30" s="118">
        <f>Data15272025121621[[#This Row],[روز بیمه]]</f>
        <v>31</v>
      </c>
      <c r="CE30" s="118">
        <f>Data15272025121621[[#This Row],[مزد روزانه ]]</f>
        <v>5867844</v>
      </c>
      <c r="CF30" s="118">
        <f>Data15272025121621[[#This Row],[حقوق پایه]]</f>
        <v>181903164</v>
      </c>
      <c r="CG30" s="118">
        <f>Data15272025121621[[#This Row],[ مزایا مشمول]]</f>
        <v>109044003</v>
      </c>
      <c r="CH30" s="118">
        <f>Data15272025121621[[#This Row],[جمع حقوق و مزایا مشمول بیمه]]</f>
        <v>290947167</v>
      </c>
      <c r="CI30" s="117">
        <f>Data15272025121621[[#This Row],[حقوق ناخالص]]</f>
        <v>392000000</v>
      </c>
      <c r="CJ30" s="117">
        <f>Data15272025121621[[#This Row],[بیمه سهم کارگر]]</f>
        <v>20366302</v>
      </c>
      <c r="CK30" s="116">
        <v>19</v>
      </c>
      <c r="CL30" s="116" t="str">
        <f>TEXT(_xlfn.XLOOKUP(Data15272025121621[[#This Row],[کد ملی]],emp_info[کد ملی],emp_info[کد شغل],"یافت نشد"),"000000")</f>
        <v>024109</v>
      </c>
      <c r="CM30" s="116">
        <f>Data15272025121621[[#This Row],[کد ملی]]</f>
        <v>2440057436</v>
      </c>
      <c r="CN30" s="116">
        <f>Data15272025121621[[#This Row],[پایه سنواتی]]*Data15272025121621[[#This Row],[تعداد سال کارکرد]]</f>
        <v>0</v>
      </c>
      <c r="CO30" s="117">
        <f>Data15272025121621[[#This Row],[حق تاهل]]</f>
        <v>0</v>
      </c>
    </row>
    <row r="31" spans="1:93" ht="24.95" customHeight="1">
      <c r="A31" s="140" t="str">
        <f>_xlfn.XLOOKUP(Data15272025121621[[#This Row],[کد ملی]],emp_info[کد ملی],emp_info[گروه])</f>
        <v>شاغل</v>
      </c>
      <c r="B31" s="121">
        <f>ROWS($A$1:A25)</f>
        <v>25</v>
      </c>
      <c r="C31" s="121">
        <f>_xlfn.XLOOKUP(Data15272025121621[[#This Row],[کد ملی]],emp_info[کد ملی],emp_info[maliat])</f>
        <v>1</v>
      </c>
      <c r="D31" s="121">
        <f>_xlfn.XLOOKUP(Data15272025121621[[#This Row],[کد ملی]],emp_info[کد ملی],emp_info[بیمه])</f>
        <v>1</v>
      </c>
      <c r="E31" s="121">
        <f>_xlfn.XLOOKUP(Data15272025121621[[#This Row],[کد ملی]],emp_info[کد ملی],emp_info[bank])</f>
        <v>1</v>
      </c>
      <c r="F31" s="5">
        <v>2280654644</v>
      </c>
      <c r="G31" s="47" t="str">
        <f>_xlfn.XLOOKUP(Data15272025121621[[#This Row],[کد ملی]],emp_info[کد ملی],emp_info[نام])&amp;" "&amp;_xlfn.XLOOKUP(Data15272025121621[[#This Row],[کد ملی]],emp_info[کد ملی],emp_info[نام خانوادگی])</f>
        <v>رضا محمدی</v>
      </c>
      <c r="H31" s="47" t="str">
        <f>_xlfn.XLOOKUP(Data15272025121621[[#This Row],[کد ملی]],emp_info[کد ملی],emp_info[وضعیت تاهل],"یافت نشد")</f>
        <v>مجرد</v>
      </c>
      <c r="I31" s="47">
        <f>_xlfn.XLOOKUP(Data15272025121621[[#This Row],[کد ملی]],emp_info[کد ملی],emp_info[تعداد فرزند],"یافت نشد")</f>
        <v>0</v>
      </c>
      <c r="J31" s="47">
        <f>_xlfn.XLOOKUP(Data15272025121621[[#This Row],[کد ملی]],emp_info[کد ملی],emp_info[ساعت کار قرارداد شده],"یافت نشد")</f>
        <v>230</v>
      </c>
      <c r="K31" s="53">
        <f>_xlfn.XLOOKUP(Data15272025121621[[#This Row],[کد ملی]],emp_info[کد ملی],emp_info[حقوق قرارداد شده],"یافت نشد")</f>
        <v>450000000</v>
      </c>
      <c r="L31" s="47">
        <f>_xlfn.XLOOKUP(Data15272025121621[[#This Row],[کد ملی]],emp_info[کد ملی],emp_info[گروه شغلی],"یافت نشد")</f>
        <v>10</v>
      </c>
      <c r="M31" s="48">
        <f>_xlfn.XLOOKUP(Data15272025121621[[#This Row],[کد ملی]],emp_info[کد ملی],emp_info[[مزد روزانه ]],"یافت نشد")</f>
        <v>5867844</v>
      </c>
      <c r="N31" s="47">
        <f>_xlfn.XLOOKUP(Data15272025121621[[#This Row],[کد ملی]],emp_info[کد ملی],emp_info[پایه سنواتی],"یافت نشد")</f>
        <v>168467</v>
      </c>
      <c r="O31" s="47">
        <f>_xlfn.XLOOKUP(Data15272025121621[[#This Row],[کد ملی]],emp_info[کد ملی],emp_info[تعداد سال کارکرد],"یافت نشد")</f>
        <v>0</v>
      </c>
      <c r="P31" s="47">
        <f>_xlfn.XLOOKUP(Data15272025121621[[#This Row],[کد ملی]],emp_info[کد ملی],emp_info[مزد مبنا],"یافت نشد")</f>
        <v>5867844</v>
      </c>
      <c r="Q31" s="47">
        <v>270</v>
      </c>
      <c r="R31" s="47">
        <v>31</v>
      </c>
      <c r="S31" s="47">
        <v>0</v>
      </c>
      <c r="T31" s="47">
        <v>0</v>
      </c>
      <c r="U31" s="49">
        <f>TRUNC(Data15272025121621[[#This Row],[حق ماموریت]]/Data15272025121621[[#This Row],[مزد مبنا]])</f>
        <v>8</v>
      </c>
      <c r="V31" s="47">
        <v>0</v>
      </c>
      <c r="W31" s="53">
        <v>0</v>
      </c>
      <c r="X31" s="53">
        <v>0</v>
      </c>
      <c r="Y31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1" s="53">
        <v>125174438</v>
      </c>
      <c r="AA31" s="49" cm="1">
        <f t="array" ref="AA3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74881248</v>
      </c>
      <c r="AB31" s="49" cm="1">
        <f t="array" ref="AB3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50293190</v>
      </c>
      <c r="AC31" s="53" cm="1">
        <f t="array" ref="AC31">ROUND(5*Data15272025121621[[#This Row],[مزد مبنا]]*(Data15272025121621[[#This Row],[روز بیمه]]/list_info302332152027[تعداد روز ماه]),0)</f>
        <v>29339220</v>
      </c>
      <c r="AD31" s="53">
        <f>ROUND(2.5*(Data15272025121621[[#This Row],[پایه سنواتی]]+Data15272025121621[[#This Row],[مزد روزانه ]])*0,0)</f>
        <v>0</v>
      </c>
      <c r="AE31" s="48" cm="1">
        <f t="array" ref="AE31">ROUND(22000000*Data15272025121621[[#This Row],[روز بیمه]]/list_info302332152027[تعداد روز ماه],0)</f>
        <v>22000000</v>
      </c>
      <c r="AF31" s="48" cm="1">
        <f t="array" ref="AF31">ROUND(list_info302332152027[حق مسکن]*Data15272025121621[[#This Row],[روز بیمه]]/list_info302332152027[تعداد روز ماه],0)</f>
        <v>30000000</v>
      </c>
      <c r="AG31" s="47" cm="1">
        <f t="array" ref="AG31">ROUND(IF(Data15272025121621[[#This Row],[وضعیت تاهل]]="متاهل",list_info302332152027[حق تاهل],0)*Data15272025121621[[#This Row],[روز بیمه]]/list_info302332152027[تعداد روز ماه],0)</f>
        <v>0</v>
      </c>
      <c r="AH31" s="47" cm="1">
        <f t="array" ref="AH31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1" s="57" cm="1">
        <f t="array" ref="AI31">list_info302332152027[[درصد فوق العاده جذب تخصصی ماهیانه ]]*Data15272025121621[[#This Row],[مزد روزانه ]]*Data15272025121621[[#This Row],[روز بیمه]]</f>
        <v>0</v>
      </c>
      <c r="AJ31" s="57" cm="1">
        <f t="array" ref="AJ31">list_info302332152027[درصد فوق العاده بدی آب و هوا]*Data15272025121621[[#This Row],[مزد روزانه ]]*Data15272025121621[[#This Row],[روز بیمه]]</f>
        <v>0</v>
      </c>
      <c r="AK31" s="57" cm="1">
        <f t="array" ref="AK31">list_info302332152027[[فوق العاده جذب تخصصی دوری از خانواده ]]*Data15272025121621[[#This Row],[مزد روزانه ]]*Data15272025121621[[#This Row],[روز بیمه]]</f>
        <v>0</v>
      </c>
      <c r="AL31" s="57" cm="1">
        <f t="array" ref="AL31">list_info302332152027[فوق العاده پارس جنوبی]*Data15272025121621[[#This Row],[مزد روزانه ]]*Data15272025121621[[#This Row],[روز بیمه]]</f>
        <v>0</v>
      </c>
      <c r="AM31" s="53" cm="1">
        <f t="array" ref="AM31">ROUND((Data15272025121621[[#This Row],[روز بیمه]]/list_info302332152027[تعداد روز ماه])*Data15272025121621[[#This Row],[تعداد فرزند]]*list_info302332152027[حق اولاد],0)</f>
        <v>0</v>
      </c>
      <c r="AN31" s="53" cm="1">
        <f t="array" ref="AN31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1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177174438</v>
      </c>
      <c r="AP31" s="48">
        <f>ROUND(Data15272025121621[[#This Row],[سایر مزایا]]+Data15272025121621[[#This Row],[اضافه کار]]+Data15272025121621[[#This Row],[جمعه کاری]],0)</f>
        <v>125174438</v>
      </c>
      <c r="AQ31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31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169183268</v>
      </c>
      <c r="AS31" s="47">
        <f>Data15272025121621[[#This Row],[روز بیمه]]*Data15272025121621[[#This Row],[پایه سنواتی]]*Data15272025121621[[#This Row],[تعداد سال کارکرد]]</f>
        <v>0</v>
      </c>
      <c r="AT31" s="53">
        <f>ROUND(Data15272025121621[[#This Row],[جمع حقوق و مزایا مشمول بیمه]]*0.07,0)</f>
        <v>25135432</v>
      </c>
      <c r="AU31" s="53">
        <f>ROUND(Data15272025121621[[#This Row],[جمع حقوق و مزایا مشمول بیمه]]*0.2,0)</f>
        <v>71815520</v>
      </c>
      <c r="AV31" s="53">
        <f>ROUND(Data15272025121621[[#This Row],[جمع حقوق و مزایا مشمول بیمه]]*0.03,0)</f>
        <v>10772328</v>
      </c>
      <c r="AW31" s="53">
        <f>Data15272025121621[[#This Row],[بیمه بیکاری]]+Data15272025121621[[#This Row],[بیمه سهم کارفرما]]+Data15272025121621[[#This Row],[بیمه سهم کارگر]]</f>
        <v>107723280</v>
      </c>
      <c r="AX31" s="48">
        <f>Data15272025121621[[#This Row],[روز بیمه]]*Data15272025121621[[#This Row],[مزد مبنا]]</f>
        <v>181903164</v>
      </c>
      <c r="AY31" s="48">
        <f>Data15272025121621[[#This Row],[حقوق پایه]]+Data15272025121621[[#This Row],[مزایا مستمر مشمول مالیات]]</f>
        <v>233903164</v>
      </c>
      <c r="AZ31" s="49">
        <f>(Data15272025121621[[#This Row],[حقوق پایه]]+Data15272025121621[[#This Row],[ مزایا مشمول]])*Data15272025121621[[#This Row],[بیمه]]</f>
        <v>359077602</v>
      </c>
      <c r="BA31" s="54">
        <f>ROUND(((Data15272025121621[[#This Row],[ساعت کارکرد]]/Data15272025121621[[#This Row],[کارکرد قرارداد شده]])*Data15272025121621[[#This Row],[حقوق قرارداد شده]]),0)</f>
        <v>528260870</v>
      </c>
      <c r="BB31" s="54">
        <f>Data15272025121621[[#This Row],[بیمه سهم کارگر]]</f>
        <v>25135432</v>
      </c>
      <c r="BC31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503125437</v>
      </c>
      <c r="BD31" s="125" t="str">
        <f>_xlfn.XLOOKUP(Data15272025121621[[#This Row],[کد ملی]],emp_info[کد ملی],emp_info[شماره حساب])</f>
        <v>0323118524001</v>
      </c>
      <c r="BE31" s="50">
        <f>TRUNC(Data15272025121621[[#This Row],[حقوق خالص]]-Data15272025121621[[#This Row],[کسر مساعده]])</f>
        <v>503125437</v>
      </c>
      <c r="BF31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31" s="2">
        <v>149762496</v>
      </c>
      <c r="BI31" s="2">
        <v>100586380</v>
      </c>
      <c r="BJ31" s="20">
        <f t="shared" si="0"/>
        <v>125174438</v>
      </c>
      <c r="BL31" s="2">
        <f>Data15272025121621[[#This Row],[بیمه]]</f>
        <v>1</v>
      </c>
      <c r="BM31" s="114" t="str" cm="1">
        <f t="array" ref="BM31">DSKKAR1817292231141823[DSK_ID]</f>
        <v>4894290013</v>
      </c>
      <c r="BN31" s="115" t="str" cm="1">
        <f t="array" ref="BN31">DSKKAR1817292231141823[DSK_YY]</f>
        <v>05</v>
      </c>
      <c r="BO31" s="115" t="str" cm="1">
        <f t="array" ref="BO31">DSKKAR1817292231141823[DSK_MM]</f>
        <v>04</v>
      </c>
      <c r="BP31" s="116" t="str" cm="1">
        <f t="array" ref="BP31">DSKKAR1817292231141823[DSK_LISTNO]</f>
        <v>01</v>
      </c>
      <c r="BQ31" s="117">
        <f>_xlfn.XLOOKUP(Data15272025121621[[#This Row],[کد ملی]],emp_info[کد ملی],emp_info[شماره بیمه],"یافت نشد")</f>
        <v>54876438</v>
      </c>
      <c r="BR31" s="116" t="str">
        <f>_xlfn.XLOOKUP(Data15272025121621[[#This Row],[کد ملی]],emp_info[کد ملی],emp_info[نام],"یافت نشد")</f>
        <v>رضا</v>
      </c>
      <c r="BS31" s="116" t="str">
        <f>_xlfn.XLOOKUP(Data15272025121621[[#This Row],[کد ملی]],emp_info[کد ملی],emp_info[نام خانوادگی],"یافت نشد")</f>
        <v>محمدی</v>
      </c>
      <c r="BT31" s="116" t="str">
        <f>_xlfn.XLOOKUP(Data15272025121621[[#This Row],[کد ملی]],emp_info[کد ملی],emp_info[نام  پدر],"یافت نشد")</f>
        <v>عزیز</v>
      </c>
      <c r="BU31" s="116" t="str">
        <f>_xlfn.XLOOKUP(Data15272025121621[[#This Row],[کد ملی]],emp_info[کد ملی],emp_info[شماره شناسنامه],"یافت نشد")</f>
        <v>2280654644</v>
      </c>
      <c r="BV31" s="116" t="str">
        <f>_xlfn.XLOOKUP(Data15272025121621[[#This Row],[کد ملی]],emp_info[کد ملی],emp_info[محل صدور],"یافت نشد")</f>
        <v>شیراز</v>
      </c>
      <c r="BW31" s="116">
        <f>_xlfn.XLOOKUP(Data15272025121621[[#This Row],[کد ملی]],emp_info[کد ملی],emp_info[تاریخ صدور],"یافت نشد")</f>
        <v>0</v>
      </c>
      <c r="BX31" s="116">
        <f>_xlfn.XLOOKUP(Data15272025121621[[#This Row],[کد ملی]],emp_info[کد ملی],emp_info[تاریخ تولد],"یافت نشد")</f>
        <v>13690926</v>
      </c>
      <c r="BY31" s="116" t="str">
        <f>_xlfn.XLOOKUP(Data15272025121621[[#This Row],[کد ملی]],emp_info[کد ملی],emp_info[جنسیت],"یافت نشد")</f>
        <v>مرد</v>
      </c>
      <c r="BZ31" s="116" t="s">
        <v>122</v>
      </c>
      <c r="CA31" s="116" t="str">
        <f>_xlfn.XLOOKUP(Data15272025121621[[#This Row],[کد ملی]],emp_info[کد ملی],emp_info[سمت شغل],"یافت نشد")</f>
        <v>کمک انباردار</v>
      </c>
      <c r="CB31" s="116">
        <f>_xlfn.XLOOKUP(Data15272025121621[[#This Row],[کد ملی]],emp_info[کد ملی],emp_info[تاریخ شروع به کار],"یافت نشد")</f>
        <v>14041201</v>
      </c>
      <c r="CC31" s="118">
        <f>_xlfn.XLOOKUP(Data15272025121621[[#This Row],[کد ملی]],emp_info[کد ملی],emp_info[ [ تاریخ پایان کار] ],"یافت نشد")</f>
        <v>0</v>
      </c>
      <c r="CD31" s="118">
        <f>Data15272025121621[[#This Row],[روز بیمه]]</f>
        <v>31</v>
      </c>
      <c r="CE31" s="118">
        <f>Data15272025121621[[#This Row],[مزد روزانه ]]</f>
        <v>5867844</v>
      </c>
      <c r="CF31" s="118">
        <f>Data15272025121621[[#This Row],[حقوق پایه]]</f>
        <v>181903164</v>
      </c>
      <c r="CG31" s="118">
        <f>Data15272025121621[[#This Row],[ مزایا مشمول]]</f>
        <v>177174438</v>
      </c>
      <c r="CH31" s="118">
        <f>Data15272025121621[[#This Row],[جمع حقوق و مزایا مشمول بیمه]]</f>
        <v>359077602</v>
      </c>
      <c r="CI31" s="117">
        <f>Data15272025121621[[#This Row],[حقوق ناخالص]]</f>
        <v>528260870</v>
      </c>
      <c r="CJ31" s="117">
        <f>Data15272025121621[[#This Row],[بیمه سهم کارگر]]</f>
        <v>25135432</v>
      </c>
      <c r="CK31" s="116">
        <v>20</v>
      </c>
      <c r="CL31" s="116" t="str">
        <f>TEXT(_xlfn.XLOOKUP(Data15272025121621[[#This Row],[کد ملی]],emp_info[کد ملی],emp_info[کد شغل],"یافت نشد"),"000000")</f>
        <v>024109</v>
      </c>
      <c r="CM31" s="116">
        <f>Data15272025121621[[#This Row],[کد ملی]]</f>
        <v>2280654644</v>
      </c>
      <c r="CN31" s="116">
        <f>Data15272025121621[[#This Row],[پایه سنواتی]]*Data15272025121621[[#This Row],[تعداد سال کارکرد]]</f>
        <v>0</v>
      </c>
      <c r="CO31" s="117">
        <f>Data15272025121621[[#This Row],[حق تاهل]]</f>
        <v>0</v>
      </c>
    </row>
    <row r="32" spans="1:93" ht="24.95" customHeight="1">
      <c r="A32" s="140" t="str">
        <f>_xlfn.XLOOKUP(Data15272025121621[[#This Row],[کد ملی]],emp_info[کد ملی],emp_info[گروه])</f>
        <v>شاغل</v>
      </c>
      <c r="B32" s="121">
        <f>ROWS($A$1:A26)</f>
        <v>26</v>
      </c>
      <c r="C32" s="121">
        <f>_xlfn.XLOOKUP(Data15272025121621[[#This Row],[کد ملی]],emp_info[کد ملی],emp_info[maliat])</f>
        <v>1</v>
      </c>
      <c r="D32" s="121">
        <f>_xlfn.XLOOKUP(Data15272025121621[[#This Row],[کد ملی]],emp_info[کد ملی],emp_info[بیمه])</f>
        <v>1</v>
      </c>
      <c r="E32" s="121">
        <f>_xlfn.XLOOKUP(Data15272025121621[[#This Row],[کد ملی]],emp_info[کد ملی],emp_info[bank])</f>
        <v>1</v>
      </c>
      <c r="F32" s="5">
        <v>4669611887</v>
      </c>
      <c r="G32" s="47" t="str">
        <f>_xlfn.XLOOKUP(Data15272025121621[[#This Row],[کد ملی]],emp_info[کد ملی],emp_info[نام])&amp;" "&amp;_xlfn.XLOOKUP(Data15272025121621[[#This Row],[کد ملی]],emp_info[کد ملی],emp_info[نام خانوادگی])</f>
        <v>مهدی  الماسی</v>
      </c>
      <c r="H32" s="47" t="str">
        <f>_xlfn.XLOOKUP(Data15272025121621[[#This Row],[کد ملی]],emp_info[کد ملی],emp_info[وضعیت تاهل],"یافت نشد")</f>
        <v>متاهل</v>
      </c>
      <c r="I32" s="47">
        <f>_xlfn.XLOOKUP(Data15272025121621[[#This Row],[کد ملی]],emp_info[کد ملی],emp_info[تعداد فرزند],"یافت نشد")</f>
        <v>3</v>
      </c>
      <c r="J32" s="47">
        <f>_xlfn.XLOOKUP(Data15272025121621[[#This Row],[کد ملی]],emp_info[کد ملی],emp_info[ساعت کار قرارداد شده],"یافت نشد")</f>
        <v>230</v>
      </c>
      <c r="K32" s="53">
        <f>_xlfn.XLOOKUP(Data15272025121621[[#This Row],[کد ملی]],emp_info[کد ملی],emp_info[حقوق قرارداد شده],"یافت نشد")</f>
        <v>800000000</v>
      </c>
      <c r="L32" s="47">
        <f>_xlfn.XLOOKUP(Data15272025121621[[#This Row],[کد ملی]],emp_info[کد ملی],emp_info[گروه شغلی],"یافت نشد")</f>
        <v>10</v>
      </c>
      <c r="M32" s="48">
        <f>_xlfn.XLOOKUP(Data15272025121621[[#This Row],[کد ملی]],emp_info[کد ملی],emp_info[[مزد روزانه ]],"یافت نشد")</f>
        <v>5867844</v>
      </c>
      <c r="N32" s="47">
        <f>_xlfn.XLOOKUP(Data15272025121621[[#This Row],[کد ملی]],emp_info[کد ملی],emp_info[پایه سنواتی],"یافت نشد")</f>
        <v>168467</v>
      </c>
      <c r="O32" s="47">
        <f>_xlfn.XLOOKUP(Data15272025121621[[#This Row],[کد ملی]],emp_info[کد ملی],emp_info[تعداد سال کارکرد],"یافت نشد")</f>
        <v>0</v>
      </c>
      <c r="P32" s="47">
        <f>_xlfn.XLOOKUP(Data15272025121621[[#This Row],[کد ملی]],emp_info[کد ملی],emp_info[مزد مبنا],"یافت نشد")</f>
        <v>5867844</v>
      </c>
      <c r="Q32" s="47">
        <v>312</v>
      </c>
      <c r="R32" s="47">
        <v>31</v>
      </c>
      <c r="S32" s="47">
        <v>0</v>
      </c>
      <c r="T32" s="47">
        <v>0</v>
      </c>
      <c r="U32" s="49">
        <f>TRUNC(Data15272025121621[[#This Row],[حق ماموریت]]/Data15272025121621[[#This Row],[مزد مبنا]])</f>
        <v>25</v>
      </c>
      <c r="V32" s="47">
        <v>0</v>
      </c>
      <c r="W32" s="53">
        <v>0</v>
      </c>
      <c r="X32" s="53">
        <v>0</v>
      </c>
      <c r="Y32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2" s="53">
        <v>376214375</v>
      </c>
      <c r="AA32" s="49" cm="1">
        <f t="array" ref="AA32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225057148</v>
      </c>
      <c r="AB32" s="49" cm="1">
        <f t="array" ref="AB32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151157227</v>
      </c>
      <c r="AC32" s="53" cm="1">
        <f t="array" ref="AC32">ROUND(5*Data15272025121621[[#This Row],[مزد مبنا]]*(Data15272025121621[[#This Row],[روز بیمه]]/list_info302332152027[تعداد روز ماه]),0)</f>
        <v>29339220</v>
      </c>
      <c r="AD32" s="53">
        <f>ROUND(2.5*(Data15272025121621[[#This Row],[پایه سنواتی]]+Data15272025121621[[#This Row],[مزد روزانه ]])*0,0)</f>
        <v>0</v>
      </c>
      <c r="AE32" s="48" cm="1">
        <f t="array" ref="AE32">ROUND(22000000*Data15272025121621[[#This Row],[روز بیمه]]/list_info302332152027[تعداد روز ماه],0)</f>
        <v>22000000</v>
      </c>
      <c r="AF32" s="48" cm="1">
        <f t="array" ref="AF32">ROUND(list_info302332152027[حق مسکن]*Data15272025121621[[#This Row],[روز بیمه]]/list_info302332152027[تعداد روز ماه],0)</f>
        <v>30000000</v>
      </c>
      <c r="AG32" s="47" cm="1">
        <f t="array" ref="AG32">ROUND(IF(Data15272025121621[[#This Row],[وضعیت تاهل]]="متاهل",list_info302332152027[حق تاهل],0)*Data15272025121621[[#This Row],[روز بیمه]]/list_info302332152027[تعداد روز ماه],0)</f>
        <v>5000000</v>
      </c>
      <c r="AH32" s="47" cm="1">
        <f t="array" ref="AH32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2" s="57" cm="1">
        <f t="array" ref="AI32">list_info302332152027[[درصد فوق العاده جذب تخصصی ماهیانه ]]*Data15272025121621[[#This Row],[مزد روزانه ]]*Data15272025121621[[#This Row],[روز بیمه]]</f>
        <v>0</v>
      </c>
      <c r="AJ32" s="57" cm="1">
        <f t="array" ref="AJ32">list_info302332152027[درصد فوق العاده بدی آب و هوا]*Data15272025121621[[#This Row],[مزد روزانه ]]*Data15272025121621[[#This Row],[روز بیمه]]</f>
        <v>0</v>
      </c>
      <c r="AK32" s="57" cm="1">
        <f t="array" ref="AK32">list_info302332152027[[فوق العاده جذب تخصصی دوری از خانواده ]]*Data15272025121621[[#This Row],[مزد روزانه ]]*Data15272025121621[[#This Row],[روز بیمه]]</f>
        <v>0</v>
      </c>
      <c r="AL32" s="57" cm="1">
        <f t="array" ref="AL32">list_info302332152027[فوق العاده پارس جنوبی]*Data15272025121621[[#This Row],[مزد روزانه ]]*Data15272025121621[[#This Row],[روز بیمه]]</f>
        <v>0</v>
      </c>
      <c r="AM32" s="53" cm="1">
        <f t="array" ref="AM32">ROUND((Data15272025121621[[#This Row],[روز بیمه]]/list_info302332152027[تعداد روز ماه])*Data15272025121621[[#This Row],[تعداد فرزند]]*list_info302332152027[حق اولاد],0)</f>
        <v>49876647</v>
      </c>
      <c r="AN32" s="53" cm="1">
        <f t="array" ref="AN32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2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433214375</v>
      </c>
      <c r="AP32" s="48">
        <f>ROUND(Data15272025121621[[#This Row],[سایر مزایا]]+Data15272025121621[[#This Row],[اضافه کار]]+Data15272025121621[[#This Row],[جمعه کاری]],0)</f>
        <v>376214375</v>
      </c>
      <c r="AQ32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106876647</v>
      </c>
      <c r="AR32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470099852</v>
      </c>
      <c r="AS32" s="47">
        <f>Data15272025121621[[#This Row],[روز بیمه]]*Data15272025121621[[#This Row],[پایه سنواتی]]*Data15272025121621[[#This Row],[تعداد سال کارکرد]]</f>
        <v>0</v>
      </c>
      <c r="AT32" s="53">
        <f>ROUND(Data15272025121621[[#This Row],[جمع حقوق و مزایا مشمول بیمه]]*0.07,0)</f>
        <v>43058228</v>
      </c>
      <c r="AU32" s="53">
        <f>ROUND(Data15272025121621[[#This Row],[جمع حقوق و مزایا مشمول بیمه]]*0.2,0)</f>
        <v>123023508</v>
      </c>
      <c r="AV32" s="53">
        <f>ROUND(Data15272025121621[[#This Row],[جمع حقوق و مزایا مشمول بیمه]]*0.03,0)</f>
        <v>18453526</v>
      </c>
      <c r="AW32" s="53">
        <f>Data15272025121621[[#This Row],[بیمه بیکاری]]+Data15272025121621[[#This Row],[بیمه سهم کارفرما]]+Data15272025121621[[#This Row],[بیمه سهم کارگر]]</f>
        <v>184535262</v>
      </c>
      <c r="AX32" s="48">
        <f>Data15272025121621[[#This Row],[روز بیمه]]*Data15272025121621[[#This Row],[مزد مبنا]]</f>
        <v>181903164</v>
      </c>
      <c r="AY32" s="48">
        <f>Data15272025121621[[#This Row],[حقوق پایه]]+Data15272025121621[[#This Row],[مزایا مستمر مشمول مالیات]]</f>
        <v>288779811</v>
      </c>
      <c r="AZ32" s="49">
        <f>(Data15272025121621[[#This Row],[حقوق پایه]]+Data15272025121621[[#This Row],[ مزایا مشمول]])*Data15272025121621[[#This Row],[بیمه]]</f>
        <v>615117539</v>
      </c>
      <c r="BA32" s="54">
        <f>ROUND(((Data15272025121621[[#This Row],[ساعت کارکرد]]/Data15272025121621[[#This Row],[کارکرد قرارداد شده]])*Data15272025121621[[#This Row],[حقوق قرارداد شده]]),0)</f>
        <v>1085217391</v>
      </c>
      <c r="BB32" s="54">
        <f>Data15272025121621[[#This Row],[بیمه سهم کارگر]]</f>
        <v>43058228</v>
      </c>
      <c r="BC32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1042159163</v>
      </c>
      <c r="BD32" s="125" t="str">
        <f>_xlfn.XLOOKUP(Data15272025121621[[#This Row],[کد ملی]],emp_info[کد ملی],emp_info[شماره حساب])</f>
        <v>IR640120010000001767102784</v>
      </c>
      <c r="BE32" s="50">
        <f>TRUNC(Data15272025121621[[#This Row],[حقوق خالص]]-Data15272025121621[[#This Row],[کسر مساعده]])</f>
        <v>1042159163</v>
      </c>
      <c r="BF32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32" s="2">
        <v>450114295</v>
      </c>
      <c r="BI32" s="2">
        <v>302314455</v>
      </c>
      <c r="BJ32" s="20">
        <f t="shared" si="0"/>
        <v>376214375</v>
      </c>
      <c r="BL32" s="2">
        <f>Data15272025121621[[#This Row],[بیمه]]</f>
        <v>1</v>
      </c>
      <c r="BM32" s="114" t="str" cm="1">
        <f t="array" ref="BM32">DSKKAR1817292231141823[DSK_ID]</f>
        <v>4894290013</v>
      </c>
      <c r="BN32" s="115" t="str" cm="1">
        <f t="array" ref="BN32">DSKKAR1817292231141823[DSK_YY]</f>
        <v>05</v>
      </c>
      <c r="BO32" s="115" t="str" cm="1">
        <f t="array" ref="BO32">DSKKAR1817292231141823[DSK_MM]</f>
        <v>04</v>
      </c>
      <c r="BP32" s="116" t="str" cm="1">
        <f t="array" ref="BP32">DSKKAR1817292231141823[DSK_LISTNO]</f>
        <v>01</v>
      </c>
      <c r="BQ32" s="117">
        <f>_xlfn.XLOOKUP(Data15272025121621[[#This Row],[کد ملی]],emp_info[کد ملی],emp_info[شماره بیمه],"یافت نشد")</f>
        <v>63289173</v>
      </c>
      <c r="BR32" s="116" t="str">
        <f>_xlfn.XLOOKUP(Data15272025121621[[#This Row],[کد ملی]],emp_info[کد ملی],emp_info[نام],"یافت نشد")</f>
        <v xml:space="preserve">مهدی </v>
      </c>
      <c r="BS32" s="116" t="str">
        <f>_xlfn.XLOOKUP(Data15272025121621[[#This Row],[کد ملی]],emp_info[کد ملی],emp_info[نام خانوادگی],"یافت نشد")</f>
        <v>الماسی</v>
      </c>
      <c r="BT32" s="116" t="str">
        <f>_xlfn.XLOOKUP(Data15272025121621[[#This Row],[کد ملی]],emp_info[کد ملی],emp_info[نام  پدر],"یافت نشد")</f>
        <v>شکرالله</v>
      </c>
      <c r="BU32" s="116">
        <f>_xlfn.XLOOKUP(Data15272025121621[[#This Row],[کد ملی]],emp_info[کد ملی],emp_info[شماره شناسنامه],"یافت نشد")</f>
        <v>37</v>
      </c>
      <c r="BV32" s="116" t="str">
        <f>_xlfn.XLOOKUP(Data15272025121621[[#This Row],[کد ملی]],emp_info[کد ملی],emp_info[محل صدور],"یافت نشد")</f>
        <v>لردگان</v>
      </c>
      <c r="BW32" s="116">
        <f>_xlfn.XLOOKUP(Data15272025121621[[#This Row],[کد ملی]],emp_info[کد ملی],emp_info[تاریخ صدور],"یافت نشد")</f>
        <v>0</v>
      </c>
      <c r="BX32" s="116">
        <f>_xlfn.XLOOKUP(Data15272025121621[[#This Row],[کد ملی]],emp_info[کد ملی],emp_info[تاریخ تولد],"یافت نشد")</f>
        <v>13610420</v>
      </c>
      <c r="BY32" s="116" t="str">
        <f>_xlfn.XLOOKUP(Data15272025121621[[#This Row],[کد ملی]],emp_info[کد ملی],emp_info[جنسیت],"یافت نشد")</f>
        <v>مرد</v>
      </c>
      <c r="BZ32" s="116" t="s">
        <v>122</v>
      </c>
      <c r="CA32" s="116" t="str">
        <f>_xlfn.XLOOKUP(Data15272025121621[[#This Row],[کد ملی]],emp_info[کد ملی],emp_info[سمت شغل],"یافت نشد")</f>
        <v>رئيس دفتر فنی</v>
      </c>
      <c r="CB32" s="116">
        <f>_xlfn.XLOOKUP(Data15272025121621[[#This Row],[کد ملی]],emp_info[کد ملی],emp_info[تاریخ شروع به کار],"یافت نشد")</f>
        <v>14050201</v>
      </c>
      <c r="CC32" s="118">
        <f>_xlfn.XLOOKUP(Data15272025121621[[#This Row],[کد ملی]],emp_info[کد ملی],emp_info[ [ تاریخ پایان کار] ],"یافت نشد")</f>
        <v>0</v>
      </c>
      <c r="CD32" s="118">
        <f>Data15272025121621[[#This Row],[روز بیمه]]</f>
        <v>31</v>
      </c>
      <c r="CE32" s="118">
        <f>Data15272025121621[[#This Row],[مزد روزانه ]]</f>
        <v>5867844</v>
      </c>
      <c r="CF32" s="118">
        <f>Data15272025121621[[#This Row],[حقوق پایه]]</f>
        <v>181903164</v>
      </c>
      <c r="CG32" s="118">
        <f>Data15272025121621[[#This Row],[ مزایا مشمول]]</f>
        <v>433214375</v>
      </c>
      <c r="CH32" s="118">
        <f>Data15272025121621[[#This Row],[جمع حقوق و مزایا مشمول بیمه]]</f>
        <v>615117539</v>
      </c>
      <c r="CI32" s="117">
        <f>Data15272025121621[[#This Row],[حقوق ناخالص]]</f>
        <v>1085217391</v>
      </c>
      <c r="CJ32" s="117">
        <f>Data15272025121621[[#This Row],[بیمه سهم کارگر]]</f>
        <v>43058228</v>
      </c>
      <c r="CK32" s="116">
        <v>21</v>
      </c>
      <c r="CL32" s="116" t="str">
        <f>TEXT(_xlfn.XLOOKUP(Data15272025121621[[#This Row],[کد ملی]],emp_info[کد ملی],emp_info[کد شغل],"یافت نشد"),"000000")</f>
        <v>034420</v>
      </c>
      <c r="CM32" s="116">
        <f>Data15272025121621[[#This Row],[کد ملی]]</f>
        <v>4669611887</v>
      </c>
      <c r="CN32" s="116">
        <f>Data15272025121621[[#This Row],[پایه سنواتی]]*Data15272025121621[[#This Row],[تعداد سال کارکرد]]</f>
        <v>0</v>
      </c>
      <c r="CO32" s="117">
        <f>Data15272025121621[[#This Row],[حق تاهل]]</f>
        <v>5000000</v>
      </c>
    </row>
    <row r="33" spans="1:93" ht="24.95" customHeight="1">
      <c r="A33" s="140" t="str">
        <f>_xlfn.XLOOKUP(Data15272025121621[[#This Row],[کد ملی]],emp_info[کد ملی],emp_info[گروه])</f>
        <v>شاغل</v>
      </c>
      <c r="B33" s="121">
        <f>ROWS($A$1:A27)</f>
        <v>27</v>
      </c>
      <c r="C33" s="121">
        <f>_xlfn.XLOOKUP(Data15272025121621[[#This Row],[کد ملی]],emp_info[کد ملی],emp_info[maliat])</f>
        <v>1</v>
      </c>
      <c r="D33" s="121">
        <f>_xlfn.XLOOKUP(Data15272025121621[[#This Row],[کد ملی]],emp_info[کد ملی],emp_info[بیمه])</f>
        <v>1</v>
      </c>
      <c r="E33" s="121">
        <f>_xlfn.XLOOKUP(Data15272025121621[[#This Row],[کد ملی]],emp_info[کد ملی],emp_info[bank])</f>
        <v>1</v>
      </c>
      <c r="F33" s="5">
        <v>2282026888</v>
      </c>
      <c r="G33" s="47" t="str">
        <f>_xlfn.XLOOKUP(Data15272025121621[[#This Row],[کد ملی]],emp_info[کد ملی],emp_info[نام])&amp;" "&amp;_xlfn.XLOOKUP(Data15272025121621[[#This Row],[کد ملی]],emp_info[کد ملی],emp_info[نام خانوادگی])</f>
        <v>محمد علی محمدی</v>
      </c>
      <c r="H33" s="47" t="str">
        <f>_xlfn.XLOOKUP(Data15272025121621[[#This Row],[کد ملی]],emp_info[کد ملی],emp_info[وضعیت تاهل],"یافت نشد")</f>
        <v>مجرد</v>
      </c>
      <c r="I33" s="47">
        <f>_xlfn.XLOOKUP(Data15272025121621[[#This Row],[کد ملی]],emp_info[کد ملی],emp_info[تعداد فرزند],"یافت نشد")</f>
        <v>0</v>
      </c>
      <c r="J33" s="47">
        <f>_xlfn.XLOOKUP(Data15272025121621[[#This Row],[کد ملی]],emp_info[کد ملی],emp_info[ساعت کار قرارداد شده],"یافت نشد")</f>
        <v>230</v>
      </c>
      <c r="K33" s="53">
        <f>_xlfn.XLOOKUP(Data15272025121621[[#This Row],[کد ملی]],emp_info[کد ملی],emp_info[حقوق قرارداد شده],"یافت نشد")</f>
        <v>500000000</v>
      </c>
      <c r="L33" s="47">
        <f>_xlfn.XLOOKUP(Data15272025121621[[#This Row],[کد ملی]],emp_info[کد ملی],emp_info[گروه شغلی],"یافت نشد")</f>
        <v>10</v>
      </c>
      <c r="M33" s="48">
        <f>_xlfn.XLOOKUP(Data15272025121621[[#This Row],[کد ملی]],emp_info[کد ملی],emp_info[[مزد روزانه ]],"یافت نشد")</f>
        <v>5867844</v>
      </c>
      <c r="N33" s="47">
        <f>_xlfn.XLOOKUP(Data15272025121621[[#This Row],[کد ملی]],emp_info[کد ملی],emp_info[پایه سنواتی],"یافت نشد")</f>
        <v>168467</v>
      </c>
      <c r="O33" s="47">
        <f>_xlfn.XLOOKUP(Data15272025121621[[#This Row],[کد ملی]],emp_info[کد ملی],emp_info[تعداد سال کارکرد],"یافت نشد")</f>
        <v>0</v>
      </c>
      <c r="P33" s="47">
        <f>_xlfn.XLOOKUP(Data15272025121621[[#This Row],[کد ملی]],emp_info[کد ملی],emp_info[مزد مبنا],"یافت نشد")</f>
        <v>5867844</v>
      </c>
      <c r="Q33" s="47">
        <v>265</v>
      </c>
      <c r="R33" s="47">
        <v>31</v>
      </c>
      <c r="S33" s="47">
        <v>0</v>
      </c>
      <c r="T33" s="47">
        <v>0</v>
      </c>
      <c r="U33" s="49">
        <f>TRUNC(Data15272025121621[[#This Row],[حق ماموریت]]/Data15272025121621[[#This Row],[مزد مبنا]])</f>
        <v>10</v>
      </c>
      <c r="V33" s="47">
        <v>0</v>
      </c>
      <c r="W33" s="53">
        <v>0</v>
      </c>
      <c r="X33" s="53">
        <v>0</v>
      </c>
      <c r="Y33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3" s="53">
        <v>149087481.5</v>
      </c>
      <c r="AA33" s="49" cm="1">
        <f t="array" ref="AA33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89186393</v>
      </c>
      <c r="AB33" s="49" cm="1">
        <f t="array" ref="AB33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59901088</v>
      </c>
      <c r="AC33" s="53" cm="1">
        <f t="array" ref="AC33">ROUND(5*Data15272025121621[[#This Row],[مزد مبنا]]*(Data15272025121621[[#This Row],[روز بیمه]]/list_info302332152027[تعداد روز ماه]),0)</f>
        <v>29339220</v>
      </c>
      <c r="AD33" s="53">
        <f>ROUND(2.5*(Data15272025121621[[#This Row],[پایه سنواتی]]+Data15272025121621[[#This Row],[مزد روزانه ]])*0,0)</f>
        <v>0</v>
      </c>
      <c r="AE33" s="48" cm="1">
        <f t="array" ref="AE33">ROUND(22000000*Data15272025121621[[#This Row],[روز بیمه]]/list_info302332152027[تعداد روز ماه],0)</f>
        <v>22000000</v>
      </c>
      <c r="AF33" s="48" cm="1">
        <f t="array" ref="AF33">ROUND(list_info302332152027[حق مسکن]*Data15272025121621[[#This Row],[روز بیمه]]/list_info302332152027[تعداد روز ماه],0)</f>
        <v>30000000</v>
      </c>
      <c r="AG33" s="47" cm="1">
        <f t="array" ref="AG33">ROUND(IF(Data15272025121621[[#This Row],[وضعیت تاهل]]="متاهل",list_info302332152027[حق تاهل],0)*Data15272025121621[[#This Row],[روز بیمه]]/list_info302332152027[تعداد روز ماه],0)</f>
        <v>0</v>
      </c>
      <c r="AH33" s="47" cm="1">
        <f t="array" ref="AH33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3" s="57" cm="1">
        <f t="array" ref="AI33">list_info302332152027[[درصد فوق العاده جذب تخصصی ماهیانه ]]*Data15272025121621[[#This Row],[مزد روزانه ]]*Data15272025121621[[#This Row],[روز بیمه]]</f>
        <v>0</v>
      </c>
      <c r="AJ33" s="57" cm="1">
        <f t="array" ref="AJ33">list_info302332152027[درصد فوق العاده بدی آب و هوا]*Data15272025121621[[#This Row],[مزد روزانه ]]*Data15272025121621[[#This Row],[روز بیمه]]</f>
        <v>0</v>
      </c>
      <c r="AK33" s="57" cm="1">
        <f t="array" ref="AK33">list_info302332152027[[فوق العاده جذب تخصصی دوری از خانواده ]]*Data15272025121621[[#This Row],[مزد روزانه ]]*Data15272025121621[[#This Row],[روز بیمه]]</f>
        <v>0</v>
      </c>
      <c r="AL33" s="57" cm="1">
        <f t="array" ref="AL33">list_info302332152027[فوق العاده پارس جنوبی]*Data15272025121621[[#This Row],[مزد روزانه ]]*Data15272025121621[[#This Row],[روز بیمه]]</f>
        <v>0</v>
      </c>
      <c r="AM33" s="53" cm="1">
        <f t="array" ref="AM33">ROUND((Data15272025121621[[#This Row],[روز بیمه]]/list_info302332152027[تعداد روز ماه])*Data15272025121621[[#This Row],[تعداد فرزند]]*list_info302332152027[حق اولاد],0)</f>
        <v>0</v>
      </c>
      <c r="AN33" s="53" cm="1">
        <f t="array" ref="AN33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3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201087482</v>
      </c>
      <c r="AP33" s="48">
        <f>ROUND(Data15272025121621[[#This Row],[سایر مزایا]]+Data15272025121621[[#This Row],[اضافه کار]]+Data15272025121621[[#This Row],[جمعه کاری]],0)</f>
        <v>149087482</v>
      </c>
      <c r="AQ33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33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193096311</v>
      </c>
      <c r="AS33" s="47">
        <f>Data15272025121621[[#This Row],[روز بیمه]]*Data15272025121621[[#This Row],[پایه سنواتی]]*Data15272025121621[[#This Row],[تعداد سال کارکرد]]</f>
        <v>0</v>
      </c>
      <c r="AT33" s="53">
        <f>ROUND(Data15272025121621[[#This Row],[جمع حقوق و مزایا مشمول بیمه]]*0.07,0)</f>
        <v>26809345</v>
      </c>
      <c r="AU33" s="53">
        <f>ROUND(Data15272025121621[[#This Row],[جمع حقوق و مزایا مشمول بیمه]]*0.2,0)</f>
        <v>76598129</v>
      </c>
      <c r="AV33" s="53">
        <f>ROUND(Data15272025121621[[#This Row],[جمع حقوق و مزایا مشمول بیمه]]*0.03,0)</f>
        <v>11489719</v>
      </c>
      <c r="AW33" s="53">
        <f>Data15272025121621[[#This Row],[بیمه بیکاری]]+Data15272025121621[[#This Row],[بیمه سهم کارفرما]]+Data15272025121621[[#This Row],[بیمه سهم کارگر]]</f>
        <v>114897193</v>
      </c>
      <c r="AX33" s="48">
        <f>Data15272025121621[[#This Row],[روز بیمه]]*Data15272025121621[[#This Row],[مزد مبنا]]</f>
        <v>181903164</v>
      </c>
      <c r="AY33" s="48">
        <f>Data15272025121621[[#This Row],[حقوق پایه]]+Data15272025121621[[#This Row],[مزایا مستمر مشمول مالیات]]</f>
        <v>233903164</v>
      </c>
      <c r="AZ33" s="49">
        <f>(Data15272025121621[[#This Row],[حقوق پایه]]+Data15272025121621[[#This Row],[ مزایا مشمول]])*Data15272025121621[[#This Row],[بیمه]]</f>
        <v>382990646</v>
      </c>
      <c r="BA33" s="54">
        <f>ROUND(((Data15272025121621[[#This Row],[ساعت کارکرد]]/Data15272025121621[[#This Row],[کارکرد قرارداد شده]])*Data15272025121621[[#This Row],[حقوق قرارداد شده]]),0)</f>
        <v>576086957</v>
      </c>
      <c r="BB33" s="54">
        <f>Data15272025121621[[#This Row],[بیمه سهم کارگر]]</f>
        <v>26809345</v>
      </c>
      <c r="BC33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549277611</v>
      </c>
      <c r="BD33" s="125" t="str">
        <f>_xlfn.XLOOKUP(Data15272025121621[[#This Row],[کد ملی]],emp_info[کد ملی],emp_info[شماره حساب])</f>
        <v>0109690407000</v>
      </c>
      <c r="BE33" s="50">
        <f>TRUNC(Data15272025121621[[#This Row],[حقوق خالص]]-Data15272025121621[[#This Row],[کسر مساعده]])</f>
        <v>549277611</v>
      </c>
      <c r="BF33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33" s="2">
        <v>178372787</v>
      </c>
      <c r="BI33" s="2">
        <v>119802176</v>
      </c>
      <c r="BJ33" s="20">
        <f t="shared" si="0"/>
        <v>149087481.5</v>
      </c>
      <c r="BL33" s="2">
        <f>Data15272025121621[[#This Row],[بیمه]]</f>
        <v>1</v>
      </c>
      <c r="BM33" s="114" t="str" cm="1">
        <f t="array" ref="BM33">DSKKAR1817292231141823[DSK_ID]</f>
        <v>4894290013</v>
      </c>
      <c r="BN33" s="115" t="str" cm="1">
        <f t="array" ref="BN33">DSKKAR1817292231141823[DSK_YY]</f>
        <v>05</v>
      </c>
      <c r="BO33" s="115" t="str" cm="1">
        <f t="array" ref="BO33">DSKKAR1817292231141823[DSK_MM]</f>
        <v>04</v>
      </c>
      <c r="BP33" s="116" t="str" cm="1">
        <f t="array" ref="BP33">DSKKAR1817292231141823[DSK_LISTNO]</f>
        <v>01</v>
      </c>
      <c r="BQ33" s="117">
        <f>_xlfn.XLOOKUP(Data15272025121621[[#This Row],[کد ملی]],emp_info[کد ملی],emp_info[شماره بیمه],"یافت نشد")</f>
        <v>14689130</v>
      </c>
      <c r="BR33" s="116" t="str">
        <f>_xlfn.XLOOKUP(Data15272025121621[[#This Row],[کد ملی]],emp_info[کد ملی],emp_info[نام],"یافت نشد")</f>
        <v>محمد علی</v>
      </c>
      <c r="BS33" s="116" t="str">
        <f>_xlfn.XLOOKUP(Data15272025121621[[#This Row],[کد ملی]],emp_info[کد ملی],emp_info[نام خانوادگی],"یافت نشد")</f>
        <v>محمدی</v>
      </c>
      <c r="BT33" s="116" t="str">
        <f>_xlfn.XLOOKUP(Data15272025121621[[#This Row],[کد ملی]],emp_info[کد ملی],emp_info[نام  پدر],"یافت نشد")</f>
        <v>مصطفی</v>
      </c>
      <c r="BU33" s="116">
        <f>_xlfn.XLOOKUP(Data15272025121621[[#This Row],[کد ملی]],emp_info[کد ملی],emp_info[شماره شناسنامه],"یافت نشد")</f>
        <v>2282026888</v>
      </c>
      <c r="BV33" s="116" t="str">
        <f>_xlfn.XLOOKUP(Data15272025121621[[#This Row],[کد ملی]],emp_info[کد ملی],emp_info[محل صدور],"یافت نشد")</f>
        <v>شیراز</v>
      </c>
      <c r="BW33" s="116">
        <f>_xlfn.XLOOKUP(Data15272025121621[[#This Row],[کد ملی]],emp_info[کد ملی],emp_info[تاریخ صدور],"یافت نشد")</f>
        <v>0</v>
      </c>
      <c r="BX33" s="116">
        <f>_xlfn.XLOOKUP(Data15272025121621[[#This Row],[کد ملی]],emp_info[کد ملی],emp_info[تاریخ تولد],"یافت نشد")</f>
        <v>13740928</v>
      </c>
      <c r="BY33" s="116" t="str">
        <f>_xlfn.XLOOKUP(Data15272025121621[[#This Row],[کد ملی]],emp_info[کد ملی],emp_info[جنسیت],"یافت نشد")</f>
        <v>مرد</v>
      </c>
      <c r="BZ33" s="116" t="s">
        <v>122</v>
      </c>
      <c r="CA33" s="116" t="str">
        <f>_xlfn.XLOOKUP(Data15272025121621[[#This Row],[کد ملی]],emp_info[کد ملی],emp_info[سمت شغل],"یافت نشد")</f>
        <v>دفتر فنی</v>
      </c>
      <c r="CB33" s="116">
        <f>_xlfn.XLOOKUP(Data15272025121621[[#This Row],[کد ملی]],emp_info[کد ملی],emp_info[تاریخ شروع به کار],"یافت نشد")</f>
        <v>14050301</v>
      </c>
      <c r="CC33" s="118">
        <f>_xlfn.XLOOKUP(Data15272025121621[[#This Row],[کد ملی]],emp_info[کد ملی],emp_info[ [ تاریخ پایان کار] ],"یافت نشد")</f>
        <v>0</v>
      </c>
      <c r="CD33" s="118">
        <f>Data15272025121621[[#This Row],[روز بیمه]]</f>
        <v>31</v>
      </c>
      <c r="CE33" s="118">
        <f>Data15272025121621[[#This Row],[مزد روزانه ]]</f>
        <v>5867844</v>
      </c>
      <c r="CF33" s="118">
        <f>Data15272025121621[[#This Row],[حقوق پایه]]</f>
        <v>181903164</v>
      </c>
      <c r="CG33" s="118">
        <f>Data15272025121621[[#This Row],[ مزایا مشمول]]</f>
        <v>201087482</v>
      </c>
      <c r="CH33" s="118">
        <f>Data15272025121621[[#This Row],[جمع حقوق و مزایا مشمول بیمه]]</f>
        <v>382990646</v>
      </c>
      <c r="CI33" s="117">
        <f>Data15272025121621[[#This Row],[حقوق ناخالص]]</f>
        <v>576086957</v>
      </c>
      <c r="CJ33" s="117">
        <f>Data15272025121621[[#This Row],[بیمه سهم کارگر]]</f>
        <v>26809345</v>
      </c>
      <c r="CK33" s="116">
        <v>22</v>
      </c>
      <c r="CL33" s="116" t="str">
        <f>TEXT(_xlfn.XLOOKUP(Data15272025121621[[#This Row],[کد ملی]],emp_info[کد ملی],emp_info[کد شغل],"یافت نشد"),"000000")</f>
        <v>009062</v>
      </c>
      <c r="CM33" s="116">
        <f>Data15272025121621[[#This Row],[کد ملی]]</f>
        <v>2282026888</v>
      </c>
      <c r="CN33" s="116">
        <f>Data15272025121621[[#This Row],[پایه سنواتی]]*Data15272025121621[[#This Row],[تعداد سال کارکرد]]</f>
        <v>0</v>
      </c>
      <c r="CO33" s="117">
        <f>Data15272025121621[[#This Row],[حق تاهل]]</f>
        <v>0</v>
      </c>
    </row>
    <row r="34" spans="1:93" ht="24.95" customHeight="1">
      <c r="A34" s="140" t="str">
        <f>_xlfn.XLOOKUP(Data15272025121621[[#This Row],[کد ملی]],emp_info[کد ملی],emp_info[گروه])</f>
        <v>شاغل</v>
      </c>
      <c r="B34" s="121">
        <f>ROWS($A$1:A28)</f>
        <v>28</v>
      </c>
      <c r="C34" s="121">
        <f>_xlfn.XLOOKUP(Data15272025121621[[#This Row],[کد ملی]],emp_info[کد ملی],emp_info[maliat])</f>
        <v>1</v>
      </c>
      <c r="D34" s="121">
        <f>_xlfn.XLOOKUP(Data15272025121621[[#This Row],[کد ملی]],emp_info[کد ملی],emp_info[بیمه])</f>
        <v>1</v>
      </c>
      <c r="E34" s="121">
        <f>_xlfn.XLOOKUP(Data15272025121621[[#This Row],[کد ملی]],emp_info[کد ملی],emp_info[bank])</f>
        <v>1</v>
      </c>
      <c r="F34" s="5">
        <v>2380305331</v>
      </c>
      <c r="G34" s="47" t="str">
        <f>_xlfn.XLOOKUP(Data15272025121621[[#This Row],[کد ملی]],emp_info[کد ملی],emp_info[نام])&amp;" "&amp;_xlfn.XLOOKUP(Data15272025121621[[#This Row],[کد ملی]],emp_info[کد ملی],emp_info[نام خانوادگی])</f>
        <v>سجاد جهانبخشی</v>
      </c>
      <c r="H34" s="47" t="str">
        <f>_xlfn.XLOOKUP(Data15272025121621[[#This Row],[کد ملی]],emp_info[کد ملی],emp_info[وضعیت تاهل],"یافت نشد")</f>
        <v>متاهل</v>
      </c>
      <c r="I34" s="47">
        <f>_xlfn.XLOOKUP(Data15272025121621[[#This Row],[کد ملی]],emp_info[کد ملی],emp_info[تعداد فرزند],"یافت نشد")</f>
        <v>1</v>
      </c>
      <c r="J34" s="47">
        <f>_xlfn.XLOOKUP(Data15272025121621[[#This Row],[کد ملی]],emp_info[کد ملی],emp_info[ساعت کار قرارداد شده],"یافت نشد")</f>
        <v>230</v>
      </c>
      <c r="K34" s="53">
        <f>_xlfn.XLOOKUP(Data15272025121621[[#This Row],[کد ملی]],emp_info[کد ملی],emp_info[حقوق قرارداد شده],"یافت نشد")</f>
        <v>400000000</v>
      </c>
      <c r="L34" s="47">
        <f>_xlfn.XLOOKUP(Data15272025121621[[#This Row],[کد ملی]],emp_info[کد ملی],emp_info[گروه شغلی],"یافت نشد")</f>
        <v>10</v>
      </c>
      <c r="M34" s="48">
        <f>_xlfn.XLOOKUP(Data15272025121621[[#This Row],[کد ملی]],emp_info[کد ملی],emp_info[[مزد روزانه ]],"یافت نشد")</f>
        <v>5867844</v>
      </c>
      <c r="N34" s="47">
        <f>_xlfn.XLOOKUP(Data15272025121621[[#This Row],[کد ملی]],emp_info[کد ملی],emp_info[پایه سنواتی],"یافت نشد")</f>
        <v>168467</v>
      </c>
      <c r="O34" s="47">
        <f>_xlfn.XLOOKUP(Data15272025121621[[#This Row],[کد ملی]],emp_info[کد ملی],emp_info[تعداد سال کارکرد],"یافت نشد")</f>
        <v>0</v>
      </c>
      <c r="P34" s="47">
        <f>_xlfn.XLOOKUP(Data15272025121621[[#This Row],[کد ملی]],emp_info[کد ملی],emp_info[مزد مبنا],"یافت نشد")</f>
        <v>5867844</v>
      </c>
      <c r="Q34" s="47">
        <v>247</v>
      </c>
      <c r="R34" s="47">
        <v>31</v>
      </c>
      <c r="S34" s="47">
        <v>0</v>
      </c>
      <c r="T34" s="47">
        <v>0</v>
      </c>
      <c r="U34" s="49">
        <f>TRUNC(Data15272025121621[[#This Row],[حق ماموریت]]/Data15272025121621[[#This Row],[مزد مبنا]])</f>
        <v>4</v>
      </c>
      <c r="V34" s="47">
        <v>0</v>
      </c>
      <c r="W34" s="53">
        <v>0</v>
      </c>
      <c r="X34" s="53">
        <v>0</v>
      </c>
      <c r="Y34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4" s="53">
        <v>65013837</v>
      </c>
      <c r="AA34" s="49" cm="1">
        <f t="array" ref="AA34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38892264</v>
      </c>
      <c r="AB34" s="49" cm="1">
        <f t="array" ref="AB34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26121573</v>
      </c>
      <c r="AC34" s="53" cm="1">
        <f t="array" ref="AC34">ROUND(5*Data15272025121621[[#This Row],[مزد مبنا]]*(Data15272025121621[[#This Row],[روز بیمه]]/list_info302332152027[تعداد روز ماه]),0)</f>
        <v>29339220</v>
      </c>
      <c r="AD34" s="53">
        <f>ROUND(2.5*(Data15272025121621[[#This Row],[پایه سنواتی]]+Data15272025121621[[#This Row],[مزد روزانه ]])*0,0)</f>
        <v>0</v>
      </c>
      <c r="AE34" s="48" cm="1">
        <f t="array" ref="AE34">ROUND(22000000*Data15272025121621[[#This Row],[روز بیمه]]/list_info302332152027[تعداد روز ماه],0)</f>
        <v>22000000</v>
      </c>
      <c r="AF34" s="48" cm="1">
        <f t="array" ref="AF34">ROUND(list_info302332152027[حق مسکن]*Data15272025121621[[#This Row],[روز بیمه]]/list_info302332152027[تعداد روز ماه],0)</f>
        <v>30000000</v>
      </c>
      <c r="AG34" s="47" cm="1">
        <f t="array" ref="AG34">ROUND(IF(Data15272025121621[[#This Row],[وضعیت تاهل]]="متاهل",list_info302332152027[حق تاهل],0)*Data15272025121621[[#This Row],[روز بیمه]]/list_info302332152027[تعداد روز ماه],0)</f>
        <v>5000000</v>
      </c>
      <c r="AH34" s="47" cm="1">
        <f t="array" ref="AH34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4" s="57" cm="1">
        <f t="array" ref="AI34">list_info302332152027[[درصد فوق العاده جذب تخصصی ماهیانه ]]*Data15272025121621[[#This Row],[مزد روزانه ]]*Data15272025121621[[#This Row],[روز بیمه]]</f>
        <v>0</v>
      </c>
      <c r="AJ34" s="57" cm="1">
        <f t="array" ref="AJ34">list_info302332152027[درصد فوق العاده بدی آب و هوا]*Data15272025121621[[#This Row],[مزد روزانه ]]*Data15272025121621[[#This Row],[روز بیمه]]</f>
        <v>0</v>
      </c>
      <c r="AK34" s="57" cm="1">
        <f t="array" ref="AK34">list_info302332152027[[فوق العاده جذب تخصصی دوری از خانواده ]]*Data15272025121621[[#This Row],[مزد روزانه ]]*Data15272025121621[[#This Row],[روز بیمه]]</f>
        <v>0</v>
      </c>
      <c r="AL34" s="57" cm="1">
        <f t="array" ref="AL34">list_info302332152027[فوق العاده پارس جنوبی]*Data15272025121621[[#This Row],[مزد روزانه ]]*Data15272025121621[[#This Row],[روز بیمه]]</f>
        <v>0</v>
      </c>
      <c r="AM34" s="53" cm="1">
        <f t="array" ref="AM34">ROUND((Data15272025121621[[#This Row],[روز بیمه]]/list_info302332152027[تعداد روز ماه])*Data15272025121621[[#This Row],[تعداد فرزند]]*list_info302332152027[حق اولاد],0)</f>
        <v>16625549</v>
      </c>
      <c r="AN34" s="53" cm="1">
        <f t="array" ref="AN34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4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122013837</v>
      </c>
      <c r="AP34" s="48">
        <f>ROUND(Data15272025121621[[#This Row],[سایر مزایا]]+Data15272025121621[[#This Row],[اضافه کار]]+Data15272025121621[[#This Row],[جمعه کاری]],0)</f>
        <v>65013837</v>
      </c>
      <c r="AQ34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73625549</v>
      </c>
      <c r="AR34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125648216</v>
      </c>
      <c r="AS34" s="47">
        <f>Data15272025121621[[#This Row],[روز بیمه]]*Data15272025121621[[#This Row],[پایه سنواتی]]*Data15272025121621[[#This Row],[تعداد سال کارکرد]]</f>
        <v>0</v>
      </c>
      <c r="AT34" s="53">
        <f>ROUND(Data15272025121621[[#This Row],[جمع حقوق و مزایا مشمول بیمه]]*0.07,0)</f>
        <v>21274190</v>
      </c>
      <c r="AU34" s="53">
        <f>ROUND(Data15272025121621[[#This Row],[جمع حقوق و مزایا مشمول بیمه]]*0.2,0)</f>
        <v>60783400</v>
      </c>
      <c r="AV34" s="53">
        <f>ROUND(Data15272025121621[[#This Row],[جمع حقوق و مزایا مشمول بیمه]]*0.03,0)</f>
        <v>9117510</v>
      </c>
      <c r="AW34" s="53">
        <f>Data15272025121621[[#This Row],[بیمه بیکاری]]+Data15272025121621[[#This Row],[بیمه سهم کارفرما]]+Data15272025121621[[#This Row],[بیمه سهم کارگر]]</f>
        <v>91175100</v>
      </c>
      <c r="AX34" s="48">
        <f>Data15272025121621[[#This Row],[روز بیمه]]*Data15272025121621[[#This Row],[مزد مبنا]]</f>
        <v>181903164</v>
      </c>
      <c r="AY34" s="48">
        <f>Data15272025121621[[#This Row],[حقوق پایه]]+Data15272025121621[[#This Row],[مزایا مستمر مشمول مالیات]]</f>
        <v>255528713</v>
      </c>
      <c r="AZ34" s="49">
        <f>(Data15272025121621[[#This Row],[حقوق پایه]]+Data15272025121621[[#This Row],[ مزایا مشمول]])*Data15272025121621[[#This Row],[بیمه]]</f>
        <v>303917001</v>
      </c>
      <c r="BA34" s="54">
        <f>ROUND(((Data15272025121621[[#This Row],[ساعت کارکرد]]/Data15272025121621[[#This Row],[کارکرد قرارداد شده]])*Data15272025121621[[#This Row],[حقوق قرارداد شده]]),0)</f>
        <v>429565217</v>
      </c>
      <c r="BB34" s="54">
        <f>Data15272025121621[[#This Row],[بیمه سهم کارگر]]</f>
        <v>21274190</v>
      </c>
      <c r="BC34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408291027</v>
      </c>
      <c r="BD34" s="125" t="str">
        <f>_xlfn.XLOOKUP(Data15272025121621[[#This Row],[کد ملی]],emp_info[کد ملی],emp_info[شماره حساب])</f>
        <v>0215395193009</v>
      </c>
      <c r="BE34" s="50">
        <f>TRUNC(Data15272025121621[[#This Row],[حقوق خالص]]-Data15272025121621[[#This Row],[کسر مساعده]])</f>
        <v>408291027</v>
      </c>
      <c r="BF34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34" s="2">
        <v>77784528</v>
      </c>
      <c r="BI34" s="2">
        <v>52243146</v>
      </c>
      <c r="BJ34" s="20">
        <f t="shared" si="0"/>
        <v>65013837</v>
      </c>
      <c r="BL34" s="2">
        <f>Data15272025121621[[#This Row],[بیمه]]</f>
        <v>1</v>
      </c>
      <c r="BM34" s="114" t="str" cm="1">
        <f t="array" ref="BM34">DSKKAR1817292231141823[DSK_ID]</f>
        <v>4894290013</v>
      </c>
      <c r="BN34" s="115" t="str" cm="1">
        <f t="array" ref="BN34">DSKKAR1817292231141823[DSK_YY]</f>
        <v>05</v>
      </c>
      <c r="BO34" s="115" t="str" cm="1">
        <f t="array" ref="BO34">DSKKAR1817292231141823[DSK_MM]</f>
        <v>04</v>
      </c>
      <c r="BP34" s="116" t="str" cm="1">
        <f t="array" ref="BP34">DSKKAR1817292231141823[DSK_LISTNO]</f>
        <v>01</v>
      </c>
      <c r="BQ34" s="117">
        <f>_xlfn.XLOOKUP(Data15272025121621[[#This Row],[کد ملی]],emp_info[کد ملی],emp_info[شماره بیمه],"یافت نشد")</f>
        <v>63767239</v>
      </c>
      <c r="BR34" s="116" t="str">
        <f>_xlfn.XLOOKUP(Data15272025121621[[#This Row],[کد ملی]],emp_info[کد ملی],emp_info[نام],"یافت نشد")</f>
        <v>سجاد</v>
      </c>
      <c r="BS34" s="116" t="str">
        <f>_xlfn.XLOOKUP(Data15272025121621[[#This Row],[کد ملی]],emp_info[کد ملی],emp_info[نام خانوادگی],"یافت نشد")</f>
        <v>جهانبخشی</v>
      </c>
      <c r="BT34" s="116" t="str">
        <f>_xlfn.XLOOKUP(Data15272025121621[[#This Row],[کد ملی]],emp_info[کد ملی],emp_info[نام  پدر],"یافت نشد")</f>
        <v>محمد</v>
      </c>
      <c r="BU34" s="116">
        <f>_xlfn.XLOOKUP(Data15272025121621[[#This Row],[کد ملی]],emp_info[کد ملی],emp_info[شماره شناسنامه],"یافت نشد")</f>
        <v>2380305331</v>
      </c>
      <c r="BV34" s="116" t="str">
        <f>_xlfn.XLOOKUP(Data15272025121621[[#This Row],[کد ملی]],emp_info[کد ملی],emp_info[محل صدور],"یافت نشد")</f>
        <v>کازرون</v>
      </c>
      <c r="BW34" s="116">
        <f>_xlfn.XLOOKUP(Data15272025121621[[#This Row],[کد ملی]],emp_info[کد ملی],emp_info[تاریخ صدور],"یافت نشد")</f>
        <v>0</v>
      </c>
      <c r="BX34" s="116">
        <f>_xlfn.XLOOKUP(Data15272025121621[[#This Row],[کد ملی]],emp_info[کد ملی],emp_info[تاریخ تولد],"یافت نشد")</f>
        <v>13740325</v>
      </c>
      <c r="BY34" s="116" t="str">
        <f>_xlfn.XLOOKUP(Data15272025121621[[#This Row],[کد ملی]],emp_info[کد ملی],emp_info[جنسیت],"یافت نشد")</f>
        <v>مرد</v>
      </c>
      <c r="BZ34" s="116" t="s">
        <v>122</v>
      </c>
      <c r="CA34" s="116" t="str">
        <f>_xlfn.XLOOKUP(Data15272025121621[[#This Row],[کد ملی]],emp_info[کد ملی],emp_info[سمت شغل],"یافت نشد")</f>
        <v>کمک انباردار</v>
      </c>
      <c r="CB34" s="116">
        <f>_xlfn.XLOOKUP(Data15272025121621[[#This Row],[کد ملی]],emp_info[کد ملی],emp_info[تاریخ شروع به کار],"یافت نشد")</f>
        <v>14041201</v>
      </c>
      <c r="CC34" s="118">
        <f>_xlfn.XLOOKUP(Data15272025121621[[#This Row],[کد ملی]],emp_info[کد ملی],emp_info[ [ تاریخ پایان کار] ],"یافت نشد")</f>
        <v>0</v>
      </c>
      <c r="CD34" s="118">
        <f>Data15272025121621[[#This Row],[روز بیمه]]</f>
        <v>31</v>
      </c>
      <c r="CE34" s="118">
        <f>Data15272025121621[[#This Row],[مزد روزانه ]]</f>
        <v>5867844</v>
      </c>
      <c r="CF34" s="118">
        <f>Data15272025121621[[#This Row],[حقوق پایه]]</f>
        <v>181903164</v>
      </c>
      <c r="CG34" s="118">
        <f>Data15272025121621[[#This Row],[ مزایا مشمول]]</f>
        <v>122013837</v>
      </c>
      <c r="CH34" s="118">
        <f>Data15272025121621[[#This Row],[جمع حقوق و مزایا مشمول بیمه]]</f>
        <v>303917001</v>
      </c>
      <c r="CI34" s="117">
        <f>Data15272025121621[[#This Row],[حقوق ناخالص]]</f>
        <v>429565217</v>
      </c>
      <c r="CJ34" s="117">
        <f>Data15272025121621[[#This Row],[بیمه سهم کارگر]]</f>
        <v>21274190</v>
      </c>
      <c r="CK34" s="116">
        <v>23</v>
      </c>
      <c r="CL34" s="116" t="str">
        <f>TEXT(_xlfn.XLOOKUP(Data15272025121621[[#This Row],[کد ملی]],emp_info[کد ملی],emp_info[کد شغل],"یافت نشد"),"000000")</f>
        <v>024109</v>
      </c>
      <c r="CM34" s="116">
        <f>Data15272025121621[[#This Row],[کد ملی]]</f>
        <v>2380305331</v>
      </c>
      <c r="CN34" s="116">
        <f>Data15272025121621[[#This Row],[پایه سنواتی]]*Data15272025121621[[#This Row],[تعداد سال کارکرد]]</f>
        <v>0</v>
      </c>
      <c r="CO34" s="117">
        <f>Data15272025121621[[#This Row],[حق تاهل]]</f>
        <v>5000000</v>
      </c>
    </row>
    <row r="35" spans="1:93" ht="24.95" customHeight="1">
      <c r="A35" s="140" t="str">
        <f>_xlfn.XLOOKUP(Data15272025121621[[#This Row],[کد ملی]],emp_info[کد ملی],emp_info[گروه])</f>
        <v>شاغل</v>
      </c>
      <c r="B35" s="121">
        <f>ROWS($A$1:A29)</f>
        <v>29</v>
      </c>
      <c r="C35" s="121">
        <f>_xlfn.XLOOKUP(Data15272025121621[[#This Row],[کد ملی]],emp_info[کد ملی],emp_info[maliat])</f>
        <v>1</v>
      </c>
      <c r="D35" s="121">
        <f>_xlfn.XLOOKUP(Data15272025121621[[#This Row],[کد ملی]],emp_info[کد ملی],emp_info[بیمه])</f>
        <v>1</v>
      </c>
      <c r="E35" s="121">
        <f>_xlfn.XLOOKUP(Data15272025121621[[#This Row],[کد ملی]],emp_info[کد ملی],emp_info[bank])</f>
        <v>1</v>
      </c>
      <c r="F35" s="5">
        <v>3559977835</v>
      </c>
      <c r="G35" s="47" t="str">
        <f>_xlfn.XLOOKUP(Data15272025121621[[#This Row],[کد ملی]],emp_info[کد ملی],emp_info[نام])&amp;" "&amp;_xlfn.XLOOKUP(Data15272025121621[[#This Row],[کد ملی]],emp_info[کد ملی],emp_info[نام خانوادگی])</f>
        <v>احسان قاسمی</v>
      </c>
      <c r="H35" s="47" t="str">
        <f>_xlfn.XLOOKUP(Data15272025121621[[#This Row],[کد ملی]],emp_info[کد ملی],emp_info[وضعیت تاهل],"یافت نشد")</f>
        <v>مجرد</v>
      </c>
      <c r="I35" s="47">
        <f>_xlfn.XLOOKUP(Data15272025121621[[#This Row],[کد ملی]],emp_info[کد ملی],emp_info[تعداد فرزند],"یافت نشد")</f>
        <v>0</v>
      </c>
      <c r="J35" s="47">
        <f>_xlfn.XLOOKUP(Data15272025121621[[#This Row],[کد ملی]],emp_info[کد ملی],emp_info[ساعت کار قرارداد شده],"یافت نشد")</f>
        <v>230</v>
      </c>
      <c r="K35" s="53">
        <f>_xlfn.XLOOKUP(Data15272025121621[[#This Row],[کد ملی]],emp_info[کد ملی],emp_info[حقوق قرارداد شده],"یافت نشد")</f>
        <v>450000000</v>
      </c>
      <c r="L35" s="47">
        <f>_xlfn.XLOOKUP(Data15272025121621[[#This Row],[کد ملی]],emp_info[کد ملی],emp_info[گروه شغلی],"یافت نشد")</f>
        <v>10</v>
      </c>
      <c r="M35" s="48">
        <f>_xlfn.XLOOKUP(Data15272025121621[[#This Row],[کد ملی]],emp_info[کد ملی],emp_info[[مزد روزانه ]],"یافت نشد")</f>
        <v>5867844</v>
      </c>
      <c r="N35" s="47">
        <f>_xlfn.XLOOKUP(Data15272025121621[[#This Row],[کد ملی]],emp_info[کد ملی],emp_info[پایه سنواتی],"یافت نشد")</f>
        <v>168467</v>
      </c>
      <c r="O35" s="47">
        <f>_xlfn.XLOOKUP(Data15272025121621[[#This Row],[کد ملی]],emp_info[کد ملی],emp_info[تعداد سال کارکرد],"یافت نشد")</f>
        <v>0</v>
      </c>
      <c r="P35" s="47">
        <f>_xlfn.XLOOKUP(Data15272025121621[[#This Row],[کد ملی]],emp_info[کد ملی],emp_info[مزد مبنا],"یافت نشد")</f>
        <v>5867844</v>
      </c>
      <c r="Q35" s="47">
        <v>242</v>
      </c>
      <c r="R35" s="47">
        <v>31</v>
      </c>
      <c r="S35" s="47">
        <v>0</v>
      </c>
      <c r="T35" s="47">
        <v>0</v>
      </c>
      <c r="U35" s="49">
        <f>TRUNC(Data15272025121621[[#This Row],[حق ماموریت]]/Data15272025121621[[#This Row],[مزد مبنا]])</f>
        <v>6</v>
      </c>
      <c r="V35" s="47">
        <v>0</v>
      </c>
      <c r="W35" s="53">
        <v>0</v>
      </c>
      <c r="X35" s="53">
        <v>0</v>
      </c>
      <c r="Y35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5" s="53">
        <v>97783133.5</v>
      </c>
      <c r="AA35" s="49" cm="1">
        <f t="array" ref="AA35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58495354</v>
      </c>
      <c r="AB35" s="49" cm="1">
        <f t="array" ref="AB35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39287779</v>
      </c>
      <c r="AC35" s="53" cm="1">
        <f t="array" ref="AC35">ROUND(5*Data15272025121621[[#This Row],[مزد مبنا]]*(Data15272025121621[[#This Row],[روز بیمه]]/list_info302332152027[تعداد روز ماه]),0)</f>
        <v>29339220</v>
      </c>
      <c r="AD35" s="53">
        <f>ROUND(2.5*(Data15272025121621[[#This Row],[پایه سنواتی]]+Data15272025121621[[#This Row],[مزد روزانه ]])*0,0)</f>
        <v>0</v>
      </c>
      <c r="AE35" s="48" cm="1">
        <f t="array" ref="AE35">ROUND(22000000*Data15272025121621[[#This Row],[روز بیمه]]/list_info302332152027[تعداد روز ماه],0)</f>
        <v>22000000</v>
      </c>
      <c r="AF35" s="48" cm="1">
        <f t="array" ref="AF35">ROUND(list_info302332152027[حق مسکن]*Data15272025121621[[#This Row],[روز بیمه]]/list_info302332152027[تعداد روز ماه],0)</f>
        <v>30000000</v>
      </c>
      <c r="AG35" s="47" cm="1">
        <f t="array" ref="AG35">ROUND(IF(Data15272025121621[[#This Row],[وضعیت تاهل]]="متاهل",list_info302332152027[حق تاهل],0)*Data15272025121621[[#This Row],[روز بیمه]]/list_info302332152027[تعداد روز ماه],0)</f>
        <v>0</v>
      </c>
      <c r="AH35" s="47" cm="1">
        <f t="array" ref="AH35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5" s="57" cm="1">
        <f t="array" ref="AI35">list_info302332152027[[درصد فوق العاده جذب تخصصی ماهیانه ]]*Data15272025121621[[#This Row],[مزد روزانه ]]*Data15272025121621[[#This Row],[روز بیمه]]</f>
        <v>0</v>
      </c>
      <c r="AJ35" s="57" cm="1">
        <f t="array" ref="AJ35">list_info302332152027[درصد فوق العاده بدی آب و هوا]*Data15272025121621[[#This Row],[مزد روزانه ]]*Data15272025121621[[#This Row],[روز بیمه]]</f>
        <v>0</v>
      </c>
      <c r="AK35" s="57" cm="1">
        <f t="array" ref="AK35">list_info302332152027[[فوق العاده جذب تخصصی دوری از خانواده ]]*Data15272025121621[[#This Row],[مزد روزانه ]]*Data15272025121621[[#This Row],[روز بیمه]]</f>
        <v>0</v>
      </c>
      <c r="AL35" s="57" cm="1">
        <f t="array" ref="AL35">list_info302332152027[فوق العاده پارس جنوبی]*Data15272025121621[[#This Row],[مزد روزانه ]]*Data15272025121621[[#This Row],[روز بیمه]]</f>
        <v>0</v>
      </c>
      <c r="AM35" s="53" cm="1">
        <f t="array" ref="AM35">ROUND((Data15272025121621[[#This Row],[روز بیمه]]/list_info302332152027[تعداد روز ماه])*Data15272025121621[[#This Row],[تعداد فرزند]]*list_info302332152027[حق اولاد],0)</f>
        <v>0</v>
      </c>
      <c r="AN35" s="53" cm="1">
        <f t="array" ref="AN35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5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149783134</v>
      </c>
      <c r="AP35" s="48">
        <f>ROUND(Data15272025121621[[#This Row],[سایر مزایا]]+Data15272025121621[[#This Row],[اضافه کار]]+Data15272025121621[[#This Row],[جمعه کاری]],0)</f>
        <v>97783134</v>
      </c>
      <c r="AQ35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35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141791963</v>
      </c>
      <c r="AS35" s="47">
        <f>Data15272025121621[[#This Row],[روز بیمه]]*Data15272025121621[[#This Row],[پایه سنواتی]]*Data15272025121621[[#This Row],[تعداد سال کارکرد]]</f>
        <v>0</v>
      </c>
      <c r="AT35" s="53">
        <f>ROUND(Data15272025121621[[#This Row],[جمع حقوق و مزایا مشمول بیمه]]*0.07,0)</f>
        <v>23218041</v>
      </c>
      <c r="AU35" s="53">
        <f>ROUND(Data15272025121621[[#This Row],[جمع حقوق و مزایا مشمول بیمه]]*0.2,0)</f>
        <v>66337260</v>
      </c>
      <c r="AV35" s="53">
        <f>ROUND(Data15272025121621[[#This Row],[جمع حقوق و مزایا مشمول بیمه]]*0.03,0)</f>
        <v>9950589</v>
      </c>
      <c r="AW35" s="53">
        <f>Data15272025121621[[#This Row],[بیمه بیکاری]]+Data15272025121621[[#This Row],[بیمه سهم کارفرما]]+Data15272025121621[[#This Row],[بیمه سهم کارگر]]</f>
        <v>99505890</v>
      </c>
      <c r="AX35" s="48">
        <f>Data15272025121621[[#This Row],[روز بیمه]]*Data15272025121621[[#This Row],[مزد مبنا]]</f>
        <v>181903164</v>
      </c>
      <c r="AY35" s="48">
        <f>Data15272025121621[[#This Row],[حقوق پایه]]+Data15272025121621[[#This Row],[مزایا مستمر مشمول مالیات]]</f>
        <v>233903164</v>
      </c>
      <c r="AZ35" s="49">
        <f>(Data15272025121621[[#This Row],[حقوق پایه]]+Data15272025121621[[#This Row],[ مزایا مشمول]])*Data15272025121621[[#This Row],[بیمه]]</f>
        <v>331686298</v>
      </c>
      <c r="BA35" s="54">
        <f>ROUND(((Data15272025121621[[#This Row],[ساعت کارکرد]]/Data15272025121621[[#This Row],[کارکرد قرارداد شده]])*Data15272025121621[[#This Row],[حقوق قرارداد شده]]),0)</f>
        <v>473478261</v>
      </c>
      <c r="BB35" s="54">
        <f>Data15272025121621[[#This Row],[بیمه سهم کارگر]]</f>
        <v>23218041</v>
      </c>
      <c r="BC35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450260219</v>
      </c>
      <c r="BD35" s="125" t="str">
        <f>_xlfn.XLOOKUP(Data15272025121621[[#This Row],[کد ملی]],emp_info[کد ملی],emp_info[شماره حساب])</f>
        <v>0307828928001</v>
      </c>
      <c r="BE35" s="50">
        <f>TRUNC(Data15272025121621[[#This Row],[حقوق خالص]]-Data15272025121621[[#This Row],[کسر مساعده]])</f>
        <v>450260219</v>
      </c>
      <c r="BF35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35" s="2">
        <v>116990708</v>
      </c>
      <c r="BI35" s="2">
        <v>78575559</v>
      </c>
      <c r="BJ35" s="20">
        <f t="shared" si="0"/>
        <v>97783133.5</v>
      </c>
      <c r="BL35" s="2">
        <f>Data15272025121621[[#This Row],[بیمه]]</f>
        <v>1</v>
      </c>
      <c r="BM35" s="114" t="str" cm="1">
        <f t="array" ref="BM35">DSKKAR1817292231141823[DSK_ID]</f>
        <v>4894290013</v>
      </c>
      <c r="BN35" s="115" t="str" cm="1">
        <f t="array" ref="BN35">DSKKAR1817292231141823[DSK_YY]</f>
        <v>05</v>
      </c>
      <c r="BO35" s="115" t="str" cm="1">
        <f t="array" ref="BO35">DSKKAR1817292231141823[DSK_MM]</f>
        <v>04</v>
      </c>
      <c r="BP35" s="116" t="str" cm="1">
        <f t="array" ref="BP35">DSKKAR1817292231141823[DSK_LISTNO]</f>
        <v>01</v>
      </c>
      <c r="BQ35" s="117">
        <f>_xlfn.XLOOKUP(Data15272025121621[[#This Row],[کد ملی]],emp_info[کد ملی],emp_info[شماره بیمه],"یافت نشد")</f>
        <v>63913770</v>
      </c>
      <c r="BR35" s="116" t="str">
        <f>_xlfn.XLOOKUP(Data15272025121621[[#This Row],[کد ملی]],emp_info[کد ملی],emp_info[نام],"یافت نشد")</f>
        <v>احسان</v>
      </c>
      <c r="BS35" s="116" t="str">
        <f>_xlfn.XLOOKUP(Data15272025121621[[#This Row],[کد ملی]],emp_info[کد ملی],emp_info[نام خانوادگی],"یافت نشد")</f>
        <v>قاسمی</v>
      </c>
      <c r="BT35" s="116" t="str">
        <f>_xlfn.XLOOKUP(Data15272025121621[[#This Row],[کد ملی]],emp_info[کد ملی],emp_info[نام  پدر],"یافت نشد")</f>
        <v>احمد</v>
      </c>
      <c r="BU35" s="116" t="str">
        <f>_xlfn.XLOOKUP(Data15272025121621[[#This Row],[کد ملی]],emp_info[کد ملی],emp_info[شماره شناسنامه],"یافت نشد")</f>
        <v>2050</v>
      </c>
      <c r="BV35" s="116" t="str">
        <f>_xlfn.XLOOKUP(Data15272025121621[[#This Row],[کد ملی]],emp_info[کد ملی],emp_info[محل صدور],"یافت نشد")</f>
        <v>بوشهر</v>
      </c>
      <c r="BW35" s="116">
        <f>_xlfn.XLOOKUP(Data15272025121621[[#This Row],[کد ملی]],emp_info[کد ملی],emp_info[تاریخ صدور],"یافت نشد")</f>
        <v>0</v>
      </c>
      <c r="BX35" s="116">
        <f>_xlfn.XLOOKUP(Data15272025121621[[#This Row],[کد ملی]],emp_info[کد ملی],emp_info[تاریخ تولد],"یافت نشد")</f>
        <v>13670217</v>
      </c>
      <c r="BY35" s="116" t="str">
        <f>_xlfn.XLOOKUP(Data15272025121621[[#This Row],[کد ملی]],emp_info[کد ملی],emp_info[جنسیت],"یافت نشد")</f>
        <v>مرد</v>
      </c>
      <c r="BZ35" s="116" t="s">
        <v>122</v>
      </c>
      <c r="CA35" s="116" t="str">
        <f>_xlfn.XLOOKUP(Data15272025121621[[#This Row],[کد ملی]],emp_info[کد ملی],emp_info[سمت شغل],"یافت نشد")</f>
        <v>دفتر فنی</v>
      </c>
      <c r="CB35" s="116">
        <f>_xlfn.XLOOKUP(Data15272025121621[[#This Row],[کد ملی]],emp_info[کد ملی],emp_info[تاریخ شروع به کار],"یافت نشد")</f>
        <v>14050301</v>
      </c>
      <c r="CC35" s="118">
        <f>_xlfn.XLOOKUP(Data15272025121621[[#This Row],[کد ملی]],emp_info[کد ملی],emp_info[ [ تاریخ پایان کار] ],"یافت نشد")</f>
        <v>0</v>
      </c>
      <c r="CD35" s="118">
        <f>Data15272025121621[[#This Row],[روز بیمه]]</f>
        <v>31</v>
      </c>
      <c r="CE35" s="118">
        <f>Data15272025121621[[#This Row],[مزد روزانه ]]</f>
        <v>5867844</v>
      </c>
      <c r="CF35" s="118">
        <f>Data15272025121621[[#This Row],[حقوق پایه]]</f>
        <v>181903164</v>
      </c>
      <c r="CG35" s="118">
        <f>Data15272025121621[[#This Row],[ مزایا مشمول]]</f>
        <v>149783134</v>
      </c>
      <c r="CH35" s="118">
        <f>Data15272025121621[[#This Row],[جمع حقوق و مزایا مشمول بیمه]]</f>
        <v>331686298</v>
      </c>
      <c r="CI35" s="117">
        <f>Data15272025121621[[#This Row],[حقوق ناخالص]]</f>
        <v>473478261</v>
      </c>
      <c r="CJ35" s="117">
        <f>Data15272025121621[[#This Row],[بیمه سهم کارگر]]</f>
        <v>23218041</v>
      </c>
      <c r="CK35" s="116">
        <v>24</v>
      </c>
      <c r="CL35" s="116" t="str">
        <f>TEXT(_xlfn.XLOOKUP(Data15272025121621[[#This Row],[کد ملی]],emp_info[کد ملی],emp_info[کد شغل],"یافت نشد"),"000000")</f>
        <v>009062</v>
      </c>
      <c r="CM35" s="116">
        <f>Data15272025121621[[#This Row],[کد ملی]]</f>
        <v>3559977835</v>
      </c>
      <c r="CN35" s="116">
        <f>Data15272025121621[[#This Row],[پایه سنواتی]]*Data15272025121621[[#This Row],[تعداد سال کارکرد]]</f>
        <v>0</v>
      </c>
      <c r="CO35" s="117">
        <f>Data15272025121621[[#This Row],[حق تاهل]]</f>
        <v>0</v>
      </c>
    </row>
    <row r="36" spans="1:93" ht="24.95" customHeight="1">
      <c r="A36" s="140" t="str">
        <f>_xlfn.XLOOKUP(Data15272025121621[[#This Row],[کد ملی]],emp_info[کد ملی],emp_info[گروه])</f>
        <v>شاغل</v>
      </c>
      <c r="B36" s="121">
        <f>ROWS($A$1:A30)</f>
        <v>30</v>
      </c>
      <c r="C36" s="121">
        <f>_xlfn.XLOOKUP(Data15272025121621[[#This Row],[کد ملی]],emp_info[کد ملی],emp_info[maliat])</f>
        <v>1</v>
      </c>
      <c r="D36" s="121">
        <f>_xlfn.XLOOKUP(Data15272025121621[[#This Row],[کد ملی]],emp_info[کد ملی],emp_info[بیمه])</f>
        <v>1</v>
      </c>
      <c r="E36" s="121">
        <f>_xlfn.XLOOKUP(Data15272025121621[[#This Row],[کد ملی]],emp_info[کد ملی],emp_info[bank])</f>
        <v>1</v>
      </c>
      <c r="F36" s="5">
        <v>3560162785</v>
      </c>
      <c r="G36" s="47" t="str">
        <f>_xlfn.XLOOKUP(Data15272025121621[[#This Row],[کد ملی]],emp_info[کد ملی],emp_info[نام])&amp;" "&amp;_xlfn.XLOOKUP(Data15272025121621[[#This Row],[کد ملی]],emp_info[کد ملی],emp_info[نام خانوادگی])</f>
        <v>مطر احمدی</v>
      </c>
      <c r="H36" s="47" t="str">
        <f>_xlfn.XLOOKUP(Data15272025121621[[#This Row],[کد ملی]],emp_info[کد ملی],emp_info[وضعیت تاهل],"یافت نشد")</f>
        <v>متاهل</v>
      </c>
      <c r="I36" s="47">
        <f>_xlfn.XLOOKUP(Data15272025121621[[#This Row],[کد ملی]],emp_info[کد ملی],emp_info[تعداد فرزند],"یافت نشد")</f>
        <v>2</v>
      </c>
      <c r="J36" s="47">
        <f>_xlfn.XLOOKUP(Data15272025121621[[#This Row],[کد ملی]],emp_info[کد ملی],emp_info[ساعت کار قرارداد شده],"یافت نشد")</f>
        <v>230</v>
      </c>
      <c r="K36" s="53">
        <f>_xlfn.XLOOKUP(Data15272025121621[[#This Row],[کد ملی]],emp_info[کد ملی],emp_info[حقوق قرارداد شده],"یافت نشد")</f>
        <v>350000000</v>
      </c>
      <c r="L36" s="47">
        <f>_xlfn.XLOOKUP(Data15272025121621[[#This Row],[کد ملی]],emp_info[کد ملی],emp_info[گروه شغلی],"یافت نشد")</f>
        <v>10</v>
      </c>
      <c r="M36" s="48">
        <f>_xlfn.XLOOKUP(Data15272025121621[[#This Row],[کد ملی]],emp_info[کد ملی],emp_info[[مزد روزانه ]],"یافت نشد")</f>
        <v>5867844</v>
      </c>
      <c r="N36" s="47">
        <f>_xlfn.XLOOKUP(Data15272025121621[[#This Row],[کد ملی]],emp_info[کد ملی],emp_info[پایه سنواتی],"یافت نشد")</f>
        <v>168467</v>
      </c>
      <c r="O36" s="47">
        <f>_xlfn.XLOOKUP(Data15272025121621[[#This Row],[کد ملی]],emp_info[کد ملی],emp_info[تعداد سال کارکرد],"یافت نشد")</f>
        <v>0</v>
      </c>
      <c r="P36" s="47">
        <f>_xlfn.XLOOKUP(Data15272025121621[[#This Row],[کد ملی]],emp_info[کد ملی],emp_info[مزد مبنا],"یافت نشد")</f>
        <v>5867844</v>
      </c>
      <c r="Q36" s="47">
        <v>226</v>
      </c>
      <c r="R36" s="47">
        <v>31</v>
      </c>
      <c r="S36" s="47">
        <v>0</v>
      </c>
      <c r="T36" s="47">
        <v>0</v>
      </c>
      <c r="U36" s="49">
        <f>TRUNC(Data15272025121621[[#This Row],[حق ماموریت]]/Data15272025121621[[#This Row],[مزد مبنا]])</f>
        <v>0</v>
      </c>
      <c r="V36" s="47">
        <v>0</v>
      </c>
      <c r="W36" s="53">
        <v>0</v>
      </c>
      <c r="X36" s="53">
        <v>0</v>
      </c>
      <c r="Y36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6" s="53">
        <v>13874975.5</v>
      </c>
      <c r="AA36" s="49" cm="1">
        <f t="array" ref="AA36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8300221</v>
      </c>
      <c r="AB36" s="49" cm="1">
        <f t="array" ref="AB36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5574754</v>
      </c>
      <c r="AC36" s="53" cm="1">
        <f t="array" ref="AC36">ROUND(5*Data15272025121621[[#This Row],[مزد مبنا]]*(Data15272025121621[[#This Row],[روز بیمه]]/list_info302332152027[تعداد روز ماه]),0)</f>
        <v>29339220</v>
      </c>
      <c r="AD36" s="53">
        <f>ROUND(2.5*(Data15272025121621[[#This Row],[پایه سنواتی]]+Data15272025121621[[#This Row],[مزد روزانه ]])*0,0)</f>
        <v>0</v>
      </c>
      <c r="AE36" s="48" cm="1">
        <f t="array" ref="AE36">ROUND(22000000*Data15272025121621[[#This Row],[روز بیمه]]/list_info302332152027[تعداد روز ماه],0)</f>
        <v>22000000</v>
      </c>
      <c r="AF36" s="48" cm="1">
        <f t="array" ref="AF36">ROUND(list_info302332152027[حق مسکن]*Data15272025121621[[#This Row],[روز بیمه]]/list_info302332152027[تعداد روز ماه],0)</f>
        <v>30000000</v>
      </c>
      <c r="AG36" s="47" cm="1">
        <f t="array" ref="AG36">ROUND(IF(Data15272025121621[[#This Row],[وضعیت تاهل]]="متاهل",list_info302332152027[حق تاهل],0)*Data15272025121621[[#This Row],[روز بیمه]]/list_info302332152027[تعداد روز ماه],0)</f>
        <v>5000000</v>
      </c>
      <c r="AH36" s="47" cm="1">
        <f t="array" ref="AH36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6" s="57" cm="1">
        <f t="array" ref="AI36">list_info302332152027[[درصد فوق العاده جذب تخصصی ماهیانه ]]*Data15272025121621[[#This Row],[مزد روزانه ]]*Data15272025121621[[#This Row],[روز بیمه]]</f>
        <v>0</v>
      </c>
      <c r="AJ36" s="57" cm="1">
        <f t="array" ref="AJ36">list_info302332152027[درصد فوق العاده بدی آب و هوا]*Data15272025121621[[#This Row],[مزد روزانه ]]*Data15272025121621[[#This Row],[روز بیمه]]</f>
        <v>0</v>
      </c>
      <c r="AK36" s="57" cm="1">
        <f t="array" ref="AK36">list_info302332152027[[فوق العاده جذب تخصصی دوری از خانواده ]]*Data15272025121621[[#This Row],[مزد روزانه ]]*Data15272025121621[[#This Row],[روز بیمه]]</f>
        <v>0</v>
      </c>
      <c r="AL36" s="57" cm="1">
        <f t="array" ref="AL36">list_info302332152027[فوق العاده پارس جنوبی]*Data15272025121621[[#This Row],[مزد روزانه ]]*Data15272025121621[[#This Row],[روز بیمه]]</f>
        <v>0</v>
      </c>
      <c r="AM36" s="53" cm="1">
        <f t="array" ref="AM36">ROUND((Data15272025121621[[#This Row],[روز بیمه]]/list_info302332152027[تعداد روز ماه])*Data15272025121621[[#This Row],[تعداد فرزند]]*list_info302332152027[حق اولاد],0)</f>
        <v>33251098</v>
      </c>
      <c r="AN36" s="53" cm="1">
        <f t="array" ref="AN36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6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70874976</v>
      </c>
      <c r="AP36" s="48">
        <f>ROUND(Data15272025121621[[#This Row],[سایر مزایا]]+Data15272025121621[[#This Row],[اضافه کار]]+Data15272025121621[[#This Row],[جمعه کاری]],0)</f>
        <v>13874976</v>
      </c>
      <c r="AQ36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90251098</v>
      </c>
      <c r="AR36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91134903</v>
      </c>
      <c r="AS36" s="47">
        <f>Data15272025121621[[#This Row],[روز بیمه]]*Data15272025121621[[#This Row],[پایه سنواتی]]*Data15272025121621[[#This Row],[تعداد سال کارکرد]]</f>
        <v>0</v>
      </c>
      <c r="AT36" s="53">
        <f>ROUND(Data15272025121621[[#This Row],[جمع حقوق و مزایا مشمول بیمه]]*0.07,0)</f>
        <v>17694470</v>
      </c>
      <c r="AU36" s="53">
        <f>ROUND(Data15272025121621[[#This Row],[جمع حقوق و مزایا مشمول بیمه]]*0.2,0)</f>
        <v>50555628</v>
      </c>
      <c r="AV36" s="53">
        <f>ROUND(Data15272025121621[[#This Row],[جمع حقوق و مزایا مشمول بیمه]]*0.03,0)</f>
        <v>7583344</v>
      </c>
      <c r="AW36" s="53">
        <f>Data15272025121621[[#This Row],[بیمه بیکاری]]+Data15272025121621[[#This Row],[بیمه سهم کارفرما]]+Data15272025121621[[#This Row],[بیمه سهم کارگر]]</f>
        <v>75833442</v>
      </c>
      <c r="AX36" s="48">
        <f>Data15272025121621[[#This Row],[روز بیمه]]*Data15272025121621[[#This Row],[مزد مبنا]]</f>
        <v>181903164</v>
      </c>
      <c r="AY36" s="48">
        <f>Data15272025121621[[#This Row],[حقوق پایه]]+Data15272025121621[[#This Row],[مزایا مستمر مشمول مالیات]]</f>
        <v>272154262</v>
      </c>
      <c r="AZ36" s="49">
        <f>(Data15272025121621[[#This Row],[حقوق پایه]]+Data15272025121621[[#This Row],[ مزایا مشمول]])*Data15272025121621[[#This Row],[بیمه]]</f>
        <v>252778140</v>
      </c>
      <c r="BA36" s="54">
        <f>ROUND(((Data15272025121621[[#This Row],[ساعت کارکرد]]/Data15272025121621[[#This Row],[کارکرد قرارداد شده]])*Data15272025121621[[#This Row],[حقوق قرارداد شده]]),0)</f>
        <v>343913043</v>
      </c>
      <c r="BB36" s="54">
        <f>Data15272025121621[[#This Row],[بیمه سهم کارگر]]</f>
        <v>17694470</v>
      </c>
      <c r="BC36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326218573</v>
      </c>
      <c r="BD36" s="125" t="str">
        <f>_xlfn.XLOOKUP(Data15272025121621[[#This Row],[کد ملی]],emp_info[کد ملی],emp_info[شماره حساب])</f>
        <v>IR080120010000002284568819</v>
      </c>
      <c r="BE36" s="50">
        <f>TRUNC(Data15272025121621[[#This Row],[حقوق خالص]]-Data15272025121621[[#This Row],[کسر مساعده]])</f>
        <v>326218573</v>
      </c>
      <c r="BF36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36" s="2">
        <v>16600442</v>
      </c>
      <c r="BI36" s="2">
        <v>11149509</v>
      </c>
      <c r="BJ36" s="20">
        <f t="shared" si="0"/>
        <v>13874975.5</v>
      </c>
      <c r="BL36" s="2">
        <f>Data15272025121621[[#This Row],[بیمه]]</f>
        <v>1</v>
      </c>
      <c r="BM36" s="114" t="str" cm="1">
        <f t="array" ref="BM36">DSKKAR1817292231141823[DSK_ID]</f>
        <v>4894290013</v>
      </c>
      <c r="BN36" s="115" t="str" cm="1">
        <f t="array" ref="BN36">DSKKAR1817292231141823[DSK_YY]</f>
        <v>05</v>
      </c>
      <c r="BO36" s="115" t="str" cm="1">
        <f t="array" ref="BO36">DSKKAR1817292231141823[DSK_MM]</f>
        <v>04</v>
      </c>
      <c r="BP36" s="116" t="str" cm="1">
        <f t="array" ref="BP36">DSKKAR1817292231141823[DSK_LISTNO]</f>
        <v>01</v>
      </c>
      <c r="BQ36" s="117">
        <f>_xlfn.XLOOKUP(Data15272025121621[[#This Row],[کد ملی]],emp_info[کد ملی],emp_info[شماره بیمه],"یافت نشد")</f>
        <v>67644850</v>
      </c>
      <c r="BR36" s="116" t="str">
        <f>_xlfn.XLOOKUP(Data15272025121621[[#This Row],[کد ملی]],emp_info[کد ملی],emp_info[نام],"یافت نشد")</f>
        <v>مطر</v>
      </c>
      <c r="BS36" s="116" t="str">
        <f>_xlfn.XLOOKUP(Data15272025121621[[#This Row],[کد ملی]],emp_info[کد ملی],emp_info[نام خانوادگی],"یافت نشد")</f>
        <v>احمدی</v>
      </c>
      <c r="BT36" s="116" t="str">
        <f>_xlfn.XLOOKUP(Data15272025121621[[#This Row],[کد ملی]],emp_info[کد ملی],emp_info[نام  پدر],"یافت نشد")</f>
        <v>خمیس</v>
      </c>
      <c r="BU36" s="116">
        <f>_xlfn.XLOOKUP(Data15272025121621[[#This Row],[کد ملی]],emp_info[کد ملی],emp_info[شماره شناسنامه],"یافت نشد")</f>
        <v>3560162785</v>
      </c>
      <c r="BV36" s="116" t="str">
        <f>_xlfn.XLOOKUP(Data15272025121621[[#This Row],[کد ملی]],emp_info[کد ملی],emp_info[محل صدور],"یافت نشد")</f>
        <v>کنگان</v>
      </c>
      <c r="BW36" s="116">
        <f>_xlfn.XLOOKUP(Data15272025121621[[#This Row],[کد ملی]],emp_info[کد ملی],emp_info[تاریخ صدور],"یافت نشد")</f>
        <v>0</v>
      </c>
      <c r="BX36" s="116">
        <f>_xlfn.XLOOKUP(Data15272025121621[[#This Row],[کد ملی]],emp_info[کد ملی],emp_info[تاریخ تولد],"یافت نشد")</f>
        <v>13750921</v>
      </c>
      <c r="BY36" s="116" t="str">
        <f>_xlfn.XLOOKUP(Data15272025121621[[#This Row],[کد ملی]],emp_info[کد ملی],emp_info[جنسیت],"یافت نشد")</f>
        <v>مرد</v>
      </c>
      <c r="BZ36" s="116" t="s">
        <v>122</v>
      </c>
      <c r="CA36" s="116" t="str">
        <f>_xlfn.XLOOKUP(Data15272025121621[[#This Row],[کد ملی]],emp_info[کد ملی],emp_info[سمت شغل],"یافت نشد")</f>
        <v>نگهبان</v>
      </c>
      <c r="CB36" s="116">
        <f>_xlfn.XLOOKUP(Data15272025121621[[#This Row],[کد ملی]],emp_info[کد ملی],emp_info[تاریخ شروع به کار],"یافت نشد")</f>
        <v>14050201</v>
      </c>
      <c r="CC36" s="118">
        <f>_xlfn.XLOOKUP(Data15272025121621[[#This Row],[کد ملی]],emp_info[کد ملی],emp_info[ [ تاریخ پایان کار] ],"یافت نشد")</f>
        <v>0</v>
      </c>
      <c r="CD36" s="118">
        <f>Data15272025121621[[#This Row],[روز بیمه]]</f>
        <v>31</v>
      </c>
      <c r="CE36" s="118">
        <f>Data15272025121621[[#This Row],[مزد روزانه ]]</f>
        <v>5867844</v>
      </c>
      <c r="CF36" s="118">
        <f>Data15272025121621[[#This Row],[حقوق پایه]]</f>
        <v>181903164</v>
      </c>
      <c r="CG36" s="118">
        <f>Data15272025121621[[#This Row],[ مزایا مشمول]]</f>
        <v>70874976</v>
      </c>
      <c r="CH36" s="118">
        <f>Data15272025121621[[#This Row],[جمع حقوق و مزایا مشمول بیمه]]</f>
        <v>252778140</v>
      </c>
      <c r="CI36" s="117">
        <f>Data15272025121621[[#This Row],[حقوق ناخالص]]</f>
        <v>343913043</v>
      </c>
      <c r="CJ36" s="117">
        <f>Data15272025121621[[#This Row],[بیمه سهم کارگر]]</f>
        <v>17694470</v>
      </c>
      <c r="CK36" s="116">
        <v>25</v>
      </c>
      <c r="CL36" s="116" t="str">
        <f>TEXT(_xlfn.XLOOKUP(Data15272025121621[[#This Row],[کد ملی]],emp_info[کد ملی],emp_info[کد شغل],"یافت نشد"),"000000")</f>
        <v>028047</v>
      </c>
      <c r="CM36" s="116">
        <f>Data15272025121621[[#This Row],[کد ملی]]</f>
        <v>3560162785</v>
      </c>
      <c r="CN36" s="116">
        <f>Data15272025121621[[#This Row],[پایه سنواتی]]*Data15272025121621[[#This Row],[تعداد سال کارکرد]]</f>
        <v>0</v>
      </c>
      <c r="CO36" s="117">
        <f>Data15272025121621[[#This Row],[حق تاهل]]</f>
        <v>5000000</v>
      </c>
    </row>
    <row r="37" spans="1:93" ht="24.95" customHeight="1">
      <c r="A37" s="140" t="str">
        <f>_xlfn.XLOOKUP(Data15272025121621[[#This Row],[کد ملی]],emp_info[کد ملی],emp_info[گروه])</f>
        <v>شاغل</v>
      </c>
      <c r="B37" s="121">
        <f>ROWS($A$1:A31)</f>
        <v>31</v>
      </c>
      <c r="C37" s="121">
        <f>_xlfn.XLOOKUP(Data15272025121621[[#This Row],[کد ملی]],emp_info[کد ملی],emp_info[maliat])</f>
        <v>1</v>
      </c>
      <c r="D37" s="121">
        <f>_xlfn.XLOOKUP(Data15272025121621[[#This Row],[کد ملی]],emp_info[کد ملی],emp_info[بیمه])</f>
        <v>1</v>
      </c>
      <c r="E37" s="121">
        <f>_xlfn.XLOOKUP(Data15272025121621[[#This Row],[کد ملی]],emp_info[کد ملی],emp_info[bank])</f>
        <v>1</v>
      </c>
      <c r="F37" s="5">
        <v>6790016570</v>
      </c>
      <c r="G37" s="47" t="str">
        <f>_xlfn.XLOOKUP(Data15272025121621[[#This Row],[کد ملی]],emp_info[کد ملی],emp_info[نام])&amp;" "&amp;_xlfn.XLOOKUP(Data15272025121621[[#This Row],[کد ملی]],emp_info[کد ملی],emp_info[نام خانوادگی])</f>
        <v>مهران مهدی علمدارلو</v>
      </c>
      <c r="H37" s="47" t="str">
        <f>_xlfn.XLOOKUP(Data15272025121621[[#This Row],[کد ملی]],emp_info[کد ملی],emp_info[وضعیت تاهل],"یافت نشد")</f>
        <v>مجرد</v>
      </c>
      <c r="I37" s="47">
        <f>_xlfn.XLOOKUP(Data15272025121621[[#This Row],[کد ملی]],emp_info[کد ملی],emp_info[تعداد فرزند],"یافت نشد")</f>
        <v>0</v>
      </c>
      <c r="J37" s="47">
        <f>_xlfn.XLOOKUP(Data15272025121621[[#This Row],[کد ملی]],emp_info[کد ملی],emp_info[ساعت کار قرارداد شده],"یافت نشد")</f>
        <v>230</v>
      </c>
      <c r="K37" s="53">
        <f>_xlfn.XLOOKUP(Data15272025121621[[#This Row],[کد ملی]],emp_info[کد ملی],emp_info[حقوق قرارداد شده],"یافت نشد")</f>
        <v>410000000</v>
      </c>
      <c r="L37" s="47">
        <f>_xlfn.XLOOKUP(Data15272025121621[[#This Row],[کد ملی]],emp_info[کد ملی],emp_info[گروه شغلی],"یافت نشد")</f>
        <v>10</v>
      </c>
      <c r="M37" s="48">
        <f>_xlfn.XLOOKUP(Data15272025121621[[#This Row],[کد ملی]],emp_info[کد ملی],emp_info[[مزد روزانه ]],"یافت نشد")</f>
        <v>5867844</v>
      </c>
      <c r="N37" s="47">
        <f>_xlfn.XLOOKUP(Data15272025121621[[#This Row],[کد ملی]],emp_info[کد ملی],emp_info[پایه سنواتی],"یافت نشد")</f>
        <v>168467</v>
      </c>
      <c r="O37" s="47">
        <f>_xlfn.XLOOKUP(Data15272025121621[[#This Row],[کد ملی]],emp_info[کد ملی],emp_info[تعداد سال کارکرد],"یافت نشد")</f>
        <v>0</v>
      </c>
      <c r="P37" s="47">
        <f>_xlfn.XLOOKUP(Data15272025121621[[#This Row],[کد ملی]],emp_info[کد ملی],emp_info[مزد مبنا],"یافت نشد")</f>
        <v>5867844</v>
      </c>
      <c r="Q37" s="47">
        <v>230</v>
      </c>
      <c r="R37" s="47">
        <v>31</v>
      </c>
      <c r="S37" s="47">
        <v>0</v>
      </c>
      <c r="T37" s="47">
        <v>0</v>
      </c>
      <c r="U37" s="49">
        <f>TRUNC(Data15272025121621[[#This Row],[حق ماموریت]]/Data15272025121621[[#This Row],[مزد مبنا]])</f>
        <v>4</v>
      </c>
      <c r="V37" s="47">
        <v>0</v>
      </c>
      <c r="W37" s="53">
        <v>0</v>
      </c>
      <c r="X37" s="53">
        <v>0</v>
      </c>
      <c r="Y37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7" s="53">
        <v>66044003</v>
      </c>
      <c r="AA37" s="49" cm="1">
        <f t="array" ref="AA3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39508525</v>
      </c>
      <c r="AB37" s="49" cm="1">
        <f t="array" ref="AB37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26535478</v>
      </c>
      <c r="AC37" s="53" cm="1">
        <f t="array" ref="AC37">ROUND(5*Data15272025121621[[#This Row],[مزد مبنا]]*(Data15272025121621[[#This Row],[روز بیمه]]/list_info302332152027[تعداد روز ماه]),0)</f>
        <v>29339220</v>
      </c>
      <c r="AD37" s="53">
        <f>ROUND(2.5*(Data15272025121621[[#This Row],[پایه سنواتی]]+Data15272025121621[[#This Row],[مزد روزانه ]])*0,0)</f>
        <v>0</v>
      </c>
      <c r="AE37" s="48" cm="1">
        <f t="array" ref="AE37">ROUND(22000000*Data15272025121621[[#This Row],[روز بیمه]]/list_info302332152027[تعداد روز ماه],0)</f>
        <v>22000000</v>
      </c>
      <c r="AF37" s="48" cm="1">
        <f t="array" ref="AF37">ROUND(list_info302332152027[حق مسکن]*Data15272025121621[[#This Row],[روز بیمه]]/list_info302332152027[تعداد روز ماه],0)</f>
        <v>30000000</v>
      </c>
      <c r="AG37" s="47" cm="1">
        <f t="array" ref="AG37">ROUND(IF(Data15272025121621[[#This Row],[وضعیت تاهل]]="متاهل",list_info302332152027[حق تاهل],0)*Data15272025121621[[#This Row],[روز بیمه]]/list_info302332152027[تعداد روز ماه],0)</f>
        <v>0</v>
      </c>
      <c r="AH37" s="47" cm="1">
        <f t="array" ref="AH37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7" s="57" cm="1">
        <f t="array" ref="AI37">list_info302332152027[[درصد فوق العاده جذب تخصصی ماهیانه ]]*Data15272025121621[[#This Row],[مزد روزانه ]]*Data15272025121621[[#This Row],[روز بیمه]]</f>
        <v>0</v>
      </c>
      <c r="AJ37" s="57" cm="1">
        <f t="array" ref="AJ37">list_info302332152027[درصد فوق العاده بدی آب و هوا]*Data15272025121621[[#This Row],[مزد روزانه ]]*Data15272025121621[[#This Row],[روز بیمه]]</f>
        <v>0</v>
      </c>
      <c r="AK37" s="57" cm="1">
        <f t="array" ref="AK37">list_info302332152027[[فوق العاده جذب تخصصی دوری از خانواده ]]*Data15272025121621[[#This Row],[مزد روزانه ]]*Data15272025121621[[#This Row],[روز بیمه]]</f>
        <v>0</v>
      </c>
      <c r="AL37" s="57" cm="1">
        <f t="array" ref="AL37">list_info302332152027[فوق العاده پارس جنوبی]*Data15272025121621[[#This Row],[مزد روزانه ]]*Data15272025121621[[#This Row],[روز بیمه]]</f>
        <v>0</v>
      </c>
      <c r="AM37" s="53" cm="1">
        <f t="array" ref="AM37">ROUND((Data15272025121621[[#This Row],[روز بیمه]]/list_info302332152027[تعداد روز ماه])*Data15272025121621[[#This Row],[تعداد فرزند]]*list_info302332152027[حق اولاد],0)</f>
        <v>0</v>
      </c>
      <c r="AN37" s="53" cm="1">
        <f t="array" ref="AN37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7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118044003</v>
      </c>
      <c r="AP37" s="48">
        <f>ROUND(Data15272025121621[[#This Row],[سایر مزایا]]+Data15272025121621[[#This Row],[اضافه کار]]+Data15272025121621[[#This Row],[جمعه کاری]],0)</f>
        <v>66044003</v>
      </c>
      <c r="AQ37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37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110052833</v>
      </c>
      <c r="AS37" s="47">
        <f>Data15272025121621[[#This Row],[روز بیمه]]*Data15272025121621[[#This Row],[پایه سنواتی]]*Data15272025121621[[#This Row],[تعداد سال کارکرد]]</f>
        <v>0</v>
      </c>
      <c r="AT37" s="53">
        <f>ROUND(Data15272025121621[[#This Row],[جمع حقوق و مزایا مشمول بیمه]]*0.07,0)</f>
        <v>20996302</v>
      </c>
      <c r="AU37" s="53">
        <f>ROUND(Data15272025121621[[#This Row],[جمع حقوق و مزایا مشمول بیمه]]*0.2,0)</f>
        <v>59989433</v>
      </c>
      <c r="AV37" s="53">
        <f>ROUND(Data15272025121621[[#This Row],[جمع حقوق و مزایا مشمول بیمه]]*0.03,0)</f>
        <v>8998415</v>
      </c>
      <c r="AW37" s="53">
        <f>Data15272025121621[[#This Row],[بیمه بیکاری]]+Data15272025121621[[#This Row],[بیمه سهم کارفرما]]+Data15272025121621[[#This Row],[بیمه سهم کارگر]]</f>
        <v>89984150</v>
      </c>
      <c r="AX37" s="48">
        <f>Data15272025121621[[#This Row],[روز بیمه]]*Data15272025121621[[#This Row],[مزد مبنا]]</f>
        <v>181903164</v>
      </c>
      <c r="AY37" s="48">
        <f>Data15272025121621[[#This Row],[حقوق پایه]]+Data15272025121621[[#This Row],[مزایا مستمر مشمول مالیات]]</f>
        <v>233903164</v>
      </c>
      <c r="AZ37" s="49">
        <f>(Data15272025121621[[#This Row],[حقوق پایه]]+Data15272025121621[[#This Row],[ مزایا مشمول]])*Data15272025121621[[#This Row],[بیمه]]</f>
        <v>299947167</v>
      </c>
      <c r="BA37" s="54">
        <f>ROUND(((Data15272025121621[[#This Row],[ساعت کارکرد]]/Data15272025121621[[#This Row],[کارکرد قرارداد شده]])*Data15272025121621[[#This Row],[حقوق قرارداد شده]]),0)</f>
        <v>410000000</v>
      </c>
      <c r="BB37" s="54">
        <f>Data15272025121621[[#This Row],[بیمه سهم کارگر]]</f>
        <v>20996302</v>
      </c>
      <c r="BC37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389003698</v>
      </c>
      <c r="BD37" s="125" t="str">
        <f>_xlfn.XLOOKUP(Data15272025121621[[#This Row],[کد ملی]],emp_info[کد ملی],emp_info[شماره حساب])</f>
        <v>0356536110007</v>
      </c>
      <c r="BE37" s="50">
        <f>TRUNC(Data15272025121621[[#This Row],[حقوق خالص]]-Data15272025121621[[#This Row],[کسر مساعده]])</f>
        <v>389003698</v>
      </c>
      <c r="BF37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37" s="2">
        <v>79017049</v>
      </c>
      <c r="BI37" s="2">
        <v>53070957</v>
      </c>
      <c r="BJ37" s="20">
        <f t="shared" si="0"/>
        <v>66044003</v>
      </c>
      <c r="BL37" s="2">
        <f>Data15272025121621[[#This Row],[بیمه]]</f>
        <v>1</v>
      </c>
      <c r="BM37" s="114" t="str" cm="1">
        <f t="array" ref="BM37">DSKKAR1817292231141823[DSK_ID]</f>
        <v>4894290013</v>
      </c>
      <c r="BN37" s="115" t="str" cm="1">
        <f t="array" ref="BN37">DSKKAR1817292231141823[DSK_YY]</f>
        <v>05</v>
      </c>
      <c r="BO37" s="115" t="str" cm="1">
        <f t="array" ref="BO37">DSKKAR1817292231141823[DSK_MM]</f>
        <v>04</v>
      </c>
      <c r="BP37" s="116" t="str" cm="1">
        <f t="array" ref="BP37">DSKKAR1817292231141823[DSK_LISTNO]</f>
        <v>01</v>
      </c>
      <c r="BQ37" s="117">
        <f>_xlfn.XLOOKUP(Data15272025121621[[#This Row],[کد ملی]],emp_info[کد ملی],emp_info[شماره بیمه],"یافت نشد")</f>
        <v>46782583</v>
      </c>
      <c r="BR37" s="116" t="str">
        <f>_xlfn.XLOOKUP(Data15272025121621[[#This Row],[کد ملی]],emp_info[کد ملی],emp_info[نام],"یافت نشد")</f>
        <v>مهران</v>
      </c>
      <c r="BS37" s="116" t="str">
        <f>_xlfn.XLOOKUP(Data15272025121621[[#This Row],[کد ملی]],emp_info[کد ملی],emp_info[نام خانوادگی],"یافت نشد")</f>
        <v>مهدی علمدارلو</v>
      </c>
      <c r="BT37" s="116" t="str">
        <f>_xlfn.XLOOKUP(Data15272025121621[[#This Row],[کد ملی]],emp_info[کد ملی],emp_info[نام  پدر],"یافت نشد")</f>
        <v>محمد حسین</v>
      </c>
      <c r="BU37" s="116">
        <f>_xlfn.XLOOKUP(Data15272025121621[[#This Row],[کد ملی]],emp_info[کد ملی],emp_info[شماره شناسنامه],"یافت نشد")</f>
        <v>6790016570</v>
      </c>
      <c r="BV37" s="116" t="str">
        <f>_xlfn.XLOOKUP(Data15272025121621[[#This Row],[کد ملی]],emp_info[کد ملی],emp_info[محل صدور],"یافت نشد")</f>
        <v>فراشبند</v>
      </c>
      <c r="BW37" s="116">
        <f>_xlfn.XLOOKUP(Data15272025121621[[#This Row],[کد ملی]],emp_info[کد ملی],emp_info[تاریخ صدور],"یافت نشد")</f>
        <v>0</v>
      </c>
      <c r="BX37" s="116">
        <f>_xlfn.XLOOKUP(Data15272025121621[[#This Row],[کد ملی]],emp_info[کد ملی],emp_info[تاریخ تولد],"یافت نشد")</f>
        <v>13540101</v>
      </c>
      <c r="BY37" s="116" t="str">
        <f>_xlfn.XLOOKUP(Data15272025121621[[#This Row],[کد ملی]],emp_info[کد ملی],emp_info[جنسیت],"یافت نشد")</f>
        <v>مرد</v>
      </c>
      <c r="BZ37" s="116" t="s">
        <v>122</v>
      </c>
      <c r="CA37" s="116" t="str">
        <f>_xlfn.XLOOKUP(Data15272025121621[[#This Row],[کد ملی]],emp_info[کد ملی],emp_info[سمت شغل],"یافت نشد")</f>
        <v>کمک انباردار</v>
      </c>
      <c r="CB37" s="116">
        <f>_xlfn.XLOOKUP(Data15272025121621[[#This Row],[کد ملی]],emp_info[کد ملی],emp_info[تاریخ شروع به کار],"یافت نشد")</f>
        <v>14050301</v>
      </c>
      <c r="CC37" s="118">
        <f>_xlfn.XLOOKUP(Data15272025121621[[#This Row],[کد ملی]],emp_info[کد ملی],emp_info[ [ تاریخ پایان کار] ],"یافت نشد")</f>
        <v>0</v>
      </c>
      <c r="CD37" s="118">
        <f>Data15272025121621[[#This Row],[روز بیمه]]</f>
        <v>31</v>
      </c>
      <c r="CE37" s="118">
        <f>Data15272025121621[[#This Row],[مزد روزانه ]]</f>
        <v>5867844</v>
      </c>
      <c r="CF37" s="118">
        <f>Data15272025121621[[#This Row],[حقوق پایه]]</f>
        <v>181903164</v>
      </c>
      <c r="CG37" s="118">
        <f>Data15272025121621[[#This Row],[ مزایا مشمول]]</f>
        <v>118044003</v>
      </c>
      <c r="CH37" s="118">
        <f>Data15272025121621[[#This Row],[جمع حقوق و مزایا مشمول بیمه]]</f>
        <v>299947167</v>
      </c>
      <c r="CI37" s="117">
        <f>Data15272025121621[[#This Row],[حقوق ناخالص]]</f>
        <v>410000000</v>
      </c>
      <c r="CJ37" s="117">
        <f>Data15272025121621[[#This Row],[بیمه سهم کارگر]]</f>
        <v>20996302</v>
      </c>
      <c r="CK37" s="116">
        <v>26</v>
      </c>
      <c r="CL37" s="116" t="str">
        <f>TEXT(_xlfn.XLOOKUP(Data15272025121621[[#This Row],[کد ملی]],emp_info[کد ملی],emp_info[کد شغل],"یافت نشد"),"000000")</f>
        <v>024109</v>
      </c>
      <c r="CM37" s="116">
        <f>Data15272025121621[[#This Row],[کد ملی]]</f>
        <v>6790016570</v>
      </c>
      <c r="CN37" s="116">
        <f>Data15272025121621[[#This Row],[پایه سنواتی]]*Data15272025121621[[#This Row],[تعداد سال کارکرد]]</f>
        <v>0</v>
      </c>
      <c r="CO37" s="117">
        <f>Data15272025121621[[#This Row],[حق تاهل]]</f>
        <v>0</v>
      </c>
    </row>
    <row r="38" spans="1:93" ht="24.95" customHeight="1">
      <c r="A38" s="140" t="str">
        <f>_xlfn.XLOOKUP(Data15272025121621[[#This Row],[کد ملی]],emp_info[کد ملی],emp_info[گروه])</f>
        <v>شاغل</v>
      </c>
      <c r="B38" s="121">
        <f>ROWS($A$1:A32)</f>
        <v>32</v>
      </c>
      <c r="C38" s="121">
        <f>_xlfn.XLOOKUP(Data15272025121621[[#This Row],[کد ملی]],emp_info[کد ملی],emp_info[maliat])</f>
        <v>1</v>
      </c>
      <c r="D38" s="121">
        <f>_xlfn.XLOOKUP(Data15272025121621[[#This Row],[کد ملی]],emp_info[کد ملی],emp_info[بیمه])</f>
        <v>1</v>
      </c>
      <c r="E38" s="121">
        <f>_xlfn.XLOOKUP(Data15272025121621[[#This Row],[کد ملی]],emp_info[کد ملی],emp_info[bank])</f>
        <v>1</v>
      </c>
      <c r="F38" s="5">
        <v>4660045412</v>
      </c>
      <c r="G38" s="47" t="str">
        <f>_xlfn.XLOOKUP(Data15272025121621[[#This Row],[کد ملی]],emp_info[کد ملی],emp_info[نام])&amp;" "&amp;_xlfn.XLOOKUP(Data15272025121621[[#This Row],[کد ملی]],emp_info[کد ملی],emp_info[نام خانوادگی])</f>
        <v>احمد شريفي</v>
      </c>
      <c r="H38" s="47" t="str">
        <f>_xlfn.XLOOKUP(Data15272025121621[[#This Row],[کد ملی]],emp_info[کد ملی],emp_info[وضعیت تاهل],"یافت نشد")</f>
        <v>متاهل</v>
      </c>
      <c r="I38" s="47">
        <f>_xlfn.XLOOKUP(Data15272025121621[[#This Row],[کد ملی]],emp_info[کد ملی],emp_info[تعداد فرزند],"یافت نشد")</f>
        <v>2</v>
      </c>
      <c r="J38" s="47">
        <f>_xlfn.XLOOKUP(Data15272025121621[[#This Row],[کد ملی]],emp_info[کد ملی],emp_info[ساعت کار قرارداد شده],"یافت نشد")</f>
        <v>230</v>
      </c>
      <c r="K38" s="53">
        <f>_xlfn.XLOOKUP(Data15272025121621[[#This Row],[کد ملی]],emp_info[کد ملی],emp_info[حقوق قرارداد شده],"یافت نشد")</f>
        <v>570000000</v>
      </c>
      <c r="L38" s="47">
        <f>_xlfn.XLOOKUP(Data15272025121621[[#This Row],[کد ملی]],emp_info[کد ملی],emp_info[گروه شغلی],"یافت نشد")</f>
        <v>10</v>
      </c>
      <c r="M38" s="48">
        <f>_xlfn.XLOOKUP(Data15272025121621[[#This Row],[کد ملی]],emp_info[کد ملی],emp_info[[مزد روزانه ]],"یافت نشد")</f>
        <v>5867844</v>
      </c>
      <c r="N38" s="47">
        <f>_xlfn.XLOOKUP(Data15272025121621[[#This Row],[کد ملی]],emp_info[کد ملی],emp_info[پایه سنواتی],"یافت نشد")</f>
        <v>168467</v>
      </c>
      <c r="O38" s="47">
        <f>_xlfn.XLOOKUP(Data15272025121621[[#This Row],[کد ملی]],emp_info[کد ملی],emp_info[تعداد سال کارکرد],"یافت نشد")</f>
        <v>0</v>
      </c>
      <c r="P38" s="47">
        <f>_xlfn.XLOOKUP(Data15272025121621[[#This Row],[کد ملی]],emp_info[کد ملی],emp_info[مزد مبنا],"یافت نشد")</f>
        <v>5867844</v>
      </c>
      <c r="Q38" s="47">
        <v>220</v>
      </c>
      <c r="R38" s="47">
        <v>31</v>
      </c>
      <c r="S38" s="47">
        <v>0</v>
      </c>
      <c r="T38" s="47">
        <v>0</v>
      </c>
      <c r="U38" s="49">
        <f>TRUNC(Data15272025121621[[#This Row],[حق ماموریت]]/Data15272025121621[[#This Row],[مزد مبنا]])</f>
        <v>7</v>
      </c>
      <c r="V38" s="47">
        <v>0</v>
      </c>
      <c r="W38" s="53">
        <v>0</v>
      </c>
      <c r="X38" s="53">
        <v>0</v>
      </c>
      <c r="Y38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8" s="53">
        <v>114527149.5</v>
      </c>
      <c r="AA38" s="49" cm="1">
        <f t="array" ref="AA3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68511878</v>
      </c>
      <c r="AB38" s="49" cm="1">
        <f t="array" ref="AB38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46015271</v>
      </c>
      <c r="AC38" s="53" cm="1">
        <f t="array" ref="AC38">ROUND(5*Data15272025121621[[#This Row],[مزد مبنا]]*(Data15272025121621[[#This Row],[روز بیمه]]/list_info302332152027[تعداد روز ماه]),0)</f>
        <v>29339220</v>
      </c>
      <c r="AD38" s="53">
        <f>ROUND(2.5*(Data15272025121621[[#This Row],[پایه سنواتی]]+Data15272025121621[[#This Row],[مزد روزانه ]])*0,0)</f>
        <v>0</v>
      </c>
      <c r="AE38" s="48" cm="1">
        <f t="array" ref="AE38">ROUND(22000000*Data15272025121621[[#This Row],[روز بیمه]]/list_info302332152027[تعداد روز ماه],0)</f>
        <v>22000000</v>
      </c>
      <c r="AF38" s="48" cm="1">
        <f t="array" ref="AF38">ROUND(list_info302332152027[حق مسکن]*Data15272025121621[[#This Row],[روز بیمه]]/list_info302332152027[تعداد روز ماه],0)</f>
        <v>30000000</v>
      </c>
      <c r="AG38" s="47" cm="1">
        <f t="array" ref="AG38">ROUND(IF(Data15272025121621[[#This Row],[وضعیت تاهل]]="متاهل",list_info302332152027[حق تاهل],0)*Data15272025121621[[#This Row],[روز بیمه]]/list_info302332152027[تعداد روز ماه],0)</f>
        <v>5000000</v>
      </c>
      <c r="AH38" s="47" cm="1">
        <f t="array" ref="AH38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8" s="57" cm="1">
        <f t="array" ref="AI38">list_info302332152027[[درصد فوق العاده جذب تخصصی ماهیانه ]]*Data15272025121621[[#This Row],[مزد روزانه ]]*Data15272025121621[[#This Row],[روز بیمه]]</f>
        <v>0</v>
      </c>
      <c r="AJ38" s="57" cm="1">
        <f t="array" ref="AJ38">list_info302332152027[درصد فوق العاده بدی آب و هوا]*Data15272025121621[[#This Row],[مزد روزانه ]]*Data15272025121621[[#This Row],[روز بیمه]]</f>
        <v>0</v>
      </c>
      <c r="AK38" s="57" cm="1">
        <f t="array" ref="AK38">list_info302332152027[[فوق العاده جذب تخصصی دوری از خانواده ]]*Data15272025121621[[#This Row],[مزد روزانه ]]*Data15272025121621[[#This Row],[روز بیمه]]</f>
        <v>0</v>
      </c>
      <c r="AL38" s="57" cm="1">
        <f t="array" ref="AL38">list_info302332152027[فوق العاده پارس جنوبی]*Data15272025121621[[#This Row],[مزد روزانه ]]*Data15272025121621[[#This Row],[روز بیمه]]</f>
        <v>0</v>
      </c>
      <c r="AM38" s="53" cm="1">
        <f t="array" ref="AM38">ROUND((Data15272025121621[[#This Row],[روز بیمه]]/list_info302332152027[تعداد روز ماه])*Data15272025121621[[#This Row],[تعداد فرزند]]*list_info302332152027[حق اولاد],0)</f>
        <v>33251098</v>
      </c>
      <c r="AN38" s="53" cm="1">
        <f t="array" ref="AN38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8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171527150</v>
      </c>
      <c r="AP38" s="48">
        <f>ROUND(Data15272025121621[[#This Row],[سایر مزایا]]+Data15272025121621[[#This Row],[اضافه کار]]+Data15272025121621[[#This Row],[جمعه کاری]],0)</f>
        <v>114527150</v>
      </c>
      <c r="AQ38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90251098</v>
      </c>
      <c r="AR38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191787077</v>
      </c>
      <c r="AS38" s="47">
        <f>Data15272025121621[[#This Row],[روز بیمه]]*Data15272025121621[[#This Row],[پایه سنواتی]]*Data15272025121621[[#This Row],[تعداد سال کارکرد]]</f>
        <v>0</v>
      </c>
      <c r="AT38" s="53">
        <f>ROUND(Data15272025121621[[#This Row],[جمع حقوق و مزایا مشمول بیمه]]*0.07,0)</f>
        <v>24740122</v>
      </c>
      <c r="AU38" s="53">
        <f>ROUND(Data15272025121621[[#This Row],[جمع حقوق و مزایا مشمول بیمه]]*0.2,0)</f>
        <v>70686063</v>
      </c>
      <c r="AV38" s="53">
        <f>ROUND(Data15272025121621[[#This Row],[جمع حقوق و مزایا مشمول بیمه]]*0.03,0)</f>
        <v>10602909</v>
      </c>
      <c r="AW38" s="53">
        <f>Data15272025121621[[#This Row],[بیمه بیکاری]]+Data15272025121621[[#This Row],[بیمه سهم کارفرما]]+Data15272025121621[[#This Row],[بیمه سهم کارگر]]</f>
        <v>106029094</v>
      </c>
      <c r="AX38" s="48">
        <f>Data15272025121621[[#This Row],[روز بیمه]]*Data15272025121621[[#This Row],[مزد مبنا]]</f>
        <v>181903164</v>
      </c>
      <c r="AY38" s="48">
        <f>Data15272025121621[[#This Row],[حقوق پایه]]+Data15272025121621[[#This Row],[مزایا مستمر مشمول مالیات]]</f>
        <v>272154262</v>
      </c>
      <c r="AZ38" s="49">
        <f>(Data15272025121621[[#This Row],[حقوق پایه]]+Data15272025121621[[#This Row],[ مزایا مشمول]])*Data15272025121621[[#This Row],[بیمه]]</f>
        <v>353430314</v>
      </c>
      <c r="BA38" s="54">
        <f>ROUND(((Data15272025121621[[#This Row],[ساعت کارکرد]]/Data15272025121621[[#This Row],[کارکرد قرارداد شده]])*Data15272025121621[[#This Row],[حقوق قرارداد شده]]),0)</f>
        <v>545217391</v>
      </c>
      <c r="BB38" s="54">
        <f>Data15272025121621[[#This Row],[بیمه سهم کارگر]]</f>
        <v>24740122</v>
      </c>
      <c r="BC38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520477269</v>
      </c>
      <c r="BD38" s="125" t="str">
        <f>_xlfn.XLOOKUP(Data15272025121621[[#This Row],[کد ملی]],emp_info[کد ملی],emp_info[شماره حساب])</f>
        <v>0347731781005</v>
      </c>
      <c r="BE38" s="50">
        <f>TRUNC(Data15272025121621[[#This Row],[حقوق خالص]]-Data15272025121621[[#This Row],[کسر مساعده]])</f>
        <v>520477269</v>
      </c>
      <c r="BF38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-0.5</v>
      </c>
      <c r="BH38" s="2">
        <v>137023757</v>
      </c>
      <c r="BI38" s="2">
        <v>92030542</v>
      </c>
      <c r="BJ38" s="20">
        <f t="shared" si="0"/>
        <v>114527149.5</v>
      </c>
      <c r="BL38" s="2">
        <f>Data15272025121621[[#This Row],[بیمه]]</f>
        <v>1</v>
      </c>
      <c r="BM38" s="114" t="str" cm="1">
        <f t="array" ref="BM38">DSKKAR1817292231141823[DSK_ID]</f>
        <v>4894290013</v>
      </c>
      <c r="BN38" s="115" t="str" cm="1">
        <f t="array" ref="BN38">DSKKAR1817292231141823[DSK_YY]</f>
        <v>05</v>
      </c>
      <c r="BO38" s="115" t="str" cm="1">
        <f t="array" ref="BO38">DSKKAR1817292231141823[DSK_MM]</f>
        <v>04</v>
      </c>
      <c r="BP38" s="116" t="str" cm="1">
        <f t="array" ref="BP38">DSKKAR1817292231141823[DSK_LISTNO]</f>
        <v>01</v>
      </c>
      <c r="BQ38" s="117">
        <f>_xlfn.XLOOKUP(Data15272025121621[[#This Row],[کد ملی]],emp_info[کد ملی],emp_info[شماره بیمه],"یافت نشد")</f>
        <v>53729609</v>
      </c>
      <c r="BR38" s="116" t="str">
        <f>_xlfn.XLOOKUP(Data15272025121621[[#This Row],[کد ملی]],emp_info[کد ملی],emp_info[نام],"یافت نشد")</f>
        <v>احمد</v>
      </c>
      <c r="BS38" s="116" t="str">
        <f>_xlfn.XLOOKUP(Data15272025121621[[#This Row],[کد ملی]],emp_info[کد ملی],emp_info[نام خانوادگی],"یافت نشد")</f>
        <v>شريفي</v>
      </c>
      <c r="BT38" s="116" t="str">
        <f>_xlfn.XLOOKUP(Data15272025121621[[#This Row],[کد ملی]],emp_info[کد ملی],emp_info[نام  پدر],"یافت نشد")</f>
        <v>صفرعلی</v>
      </c>
      <c r="BU38" s="116">
        <f>_xlfn.XLOOKUP(Data15272025121621[[#This Row],[کد ملی]],emp_info[کد ملی],emp_info[شماره شناسنامه],"یافت نشد")</f>
        <v>4660045412</v>
      </c>
      <c r="BV38" s="116" t="str">
        <f>_xlfn.XLOOKUP(Data15272025121621[[#This Row],[کد ملی]],emp_info[کد ملی],emp_info[محل صدور],"یافت نشد")</f>
        <v>لردکان</v>
      </c>
      <c r="BW38" s="116">
        <f>_xlfn.XLOOKUP(Data15272025121621[[#This Row],[کد ملی]],emp_info[کد ملی],emp_info[تاریخ صدور],"یافت نشد")</f>
        <v>0</v>
      </c>
      <c r="BX38" s="116">
        <f>_xlfn.XLOOKUP(Data15272025121621[[#This Row],[کد ملی]],emp_info[کد ملی],emp_info[تاریخ تولد],"یافت نشد")</f>
        <v>13750101</v>
      </c>
      <c r="BY38" s="116" t="str">
        <f>_xlfn.XLOOKUP(Data15272025121621[[#This Row],[کد ملی]],emp_info[کد ملی],emp_info[جنسیت],"یافت نشد")</f>
        <v>مرد</v>
      </c>
      <c r="BZ38" s="116" t="s">
        <v>122</v>
      </c>
      <c r="CA38" s="116" t="str">
        <f>_xlfn.XLOOKUP(Data15272025121621[[#This Row],[کد ملی]],emp_info[کد ملی],emp_info[سمت شغل],"یافت نشد")</f>
        <v>انباردار</v>
      </c>
      <c r="CB38" s="116">
        <f>_xlfn.XLOOKUP(Data15272025121621[[#This Row],[کد ملی]],emp_info[کد ملی],emp_info[تاریخ شروع به کار],"یافت نشد")</f>
        <v>14040901</v>
      </c>
      <c r="CC38" s="118">
        <f>_xlfn.XLOOKUP(Data15272025121621[[#This Row],[کد ملی]],emp_info[کد ملی],emp_info[ [ تاریخ پایان کار] ],"یافت نشد")</f>
        <v>0</v>
      </c>
      <c r="CD38" s="118">
        <f>Data15272025121621[[#This Row],[روز بیمه]]</f>
        <v>31</v>
      </c>
      <c r="CE38" s="118">
        <f>Data15272025121621[[#This Row],[مزد روزانه ]]</f>
        <v>5867844</v>
      </c>
      <c r="CF38" s="118">
        <f>Data15272025121621[[#This Row],[حقوق پایه]]</f>
        <v>181903164</v>
      </c>
      <c r="CG38" s="118">
        <f>Data15272025121621[[#This Row],[ مزایا مشمول]]</f>
        <v>171527150</v>
      </c>
      <c r="CH38" s="118">
        <f>Data15272025121621[[#This Row],[جمع حقوق و مزایا مشمول بیمه]]</f>
        <v>353430314</v>
      </c>
      <c r="CI38" s="117">
        <f>Data15272025121621[[#This Row],[حقوق ناخالص]]</f>
        <v>545217391</v>
      </c>
      <c r="CJ38" s="117">
        <f>Data15272025121621[[#This Row],[بیمه سهم کارگر]]</f>
        <v>24740122</v>
      </c>
      <c r="CK38" s="116">
        <v>27</v>
      </c>
      <c r="CL38" s="116" t="str">
        <f>TEXT(_xlfn.XLOOKUP(Data15272025121621[[#This Row],[کد ملی]],emp_info[کد ملی],emp_info[کد شغل],"یافت نشد"),"000000")</f>
        <v>000255</v>
      </c>
      <c r="CM38" s="116">
        <f>Data15272025121621[[#This Row],[کد ملی]]</f>
        <v>4660045412</v>
      </c>
      <c r="CN38" s="116">
        <f>Data15272025121621[[#This Row],[پایه سنواتی]]*Data15272025121621[[#This Row],[تعداد سال کارکرد]]</f>
        <v>0</v>
      </c>
      <c r="CO38" s="117">
        <f>Data15272025121621[[#This Row],[حق تاهل]]</f>
        <v>5000000</v>
      </c>
    </row>
    <row r="39" spans="1:93" ht="24.95" customHeight="1">
      <c r="A39" s="140" t="str">
        <f>_xlfn.XLOOKUP(Data15272025121621[[#This Row],[کد ملی]],emp_info[کد ملی],emp_info[گروه])</f>
        <v>شاغل</v>
      </c>
      <c r="B39" s="121">
        <f>ROWS($A$1:A33)</f>
        <v>33</v>
      </c>
      <c r="C39" s="121">
        <f>_xlfn.XLOOKUP(Data15272025121621[[#This Row],[کد ملی]],emp_info[کد ملی],emp_info[maliat])</f>
        <v>1</v>
      </c>
      <c r="D39" s="121">
        <f>_xlfn.XLOOKUP(Data15272025121621[[#This Row],[کد ملی]],emp_info[کد ملی],emp_info[بیمه])</f>
        <v>1</v>
      </c>
      <c r="E39" s="121">
        <f>_xlfn.XLOOKUP(Data15272025121621[[#This Row],[کد ملی]],emp_info[کد ملی],emp_info[bank])</f>
        <v>1</v>
      </c>
      <c r="F39" s="5">
        <v>6629827821</v>
      </c>
      <c r="G39" s="47" t="str">
        <f>_xlfn.XLOOKUP(Data15272025121621[[#This Row],[کد ملی]],emp_info[کد ملی],emp_info[نام])&amp;" "&amp;_xlfn.XLOOKUP(Data15272025121621[[#This Row],[کد ملی]],emp_info[کد ملی],emp_info[نام خانوادگی])</f>
        <v>ابراهیم رشیدی</v>
      </c>
      <c r="H39" s="47" t="str">
        <f>_xlfn.XLOOKUP(Data15272025121621[[#This Row],[کد ملی]],emp_info[کد ملی],emp_info[وضعیت تاهل],"یافت نشد")</f>
        <v>متاهل</v>
      </c>
      <c r="I39" s="47">
        <f>_xlfn.XLOOKUP(Data15272025121621[[#This Row],[کد ملی]],emp_info[کد ملی],emp_info[تعداد فرزند],"یافت نشد")</f>
        <v>4</v>
      </c>
      <c r="J39" s="47">
        <f>_xlfn.XLOOKUP(Data15272025121621[[#This Row],[کد ملی]],emp_info[کد ملی],emp_info[ساعت کار قرارداد شده],"یافت نشد")</f>
        <v>230</v>
      </c>
      <c r="K39" s="53">
        <f>_xlfn.XLOOKUP(Data15272025121621[[#This Row],[کد ملی]],emp_info[کد ملی],emp_info[حقوق قرارداد شده],"یافت نشد")</f>
        <v>570000000</v>
      </c>
      <c r="L39" s="47">
        <f>_xlfn.XLOOKUP(Data15272025121621[[#This Row],[کد ملی]],emp_info[کد ملی],emp_info[گروه شغلی],"یافت نشد")</f>
        <v>10</v>
      </c>
      <c r="M39" s="48">
        <f>_xlfn.XLOOKUP(Data15272025121621[[#This Row],[کد ملی]],emp_info[کد ملی],emp_info[[مزد روزانه ]],"یافت نشد")</f>
        <v>5867844</v>
      </c>
      <c r="N39" s="47">
        <f>_xlfn.XLOOKUP(Data15272025121621[[#This Row],[کد ملی]],emp_info[کد ملی],emp_info[پایه سنواتی],"یافت نشد")</f>
        <v>168467</v>
      </c>
      <c r="O39" s="47">
        <f>_xlfn.XLOOKUP(Data15272025121621[[#This Row],[کد ملی]],emp_info[کد ملی],emp_info[تعداد سال کارکرد],"یافت نشد")</f>
        <v>0</v>
      </c>
      <c r="P39" s="47">
        <f>_xlfn.XLOOKUP(Data15272025121621[[#This Row],[کد ملی]],emp_info[کد ملی],emp_info[مزد مبنا],"یافت نشد")</f>
        <v>5867844</v>
      </c>
      <c r="Q39" s="47">
        <v>310</v>
      </c>
      <c r="R39" s="47">
        <v>31</v>
      </c>
      <c r="S39" s="47">
        <v>0</v>
      </c>
      <c r="T39" s="47">
        <v>0</v>
      </c>
      <c r="U39" s="49">
        <f>TRUNC(Data15272025121621[[#This Row],[حق ماموریت]]/Data15272025121621[[#This Row],[مزد مبنا]])</f>
        <v>14</v>
      </c>
      <c r="V39" s="47">
        <v>0</v>
      </c>
      <c r="W39" s="53">
        <v>0</v>
      </c>
      <c r="X39" s="53">
        <v>0</v>
      </c>
      <c r="Y39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39" s="53">
        <v>209423340</v>
      </c>
      <c r="AA39" s="49" cm="1">
        <f t="array" ref="AA3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125280220</v>
      </c>
      <c r="AB39" s="49" cm="1">
        <f t="array" ref="AB39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84143120</v>
      </c>
      <c r="AC39" s="53" cm="1">
        <f t="array" ref="AC39">ROUND(5*Data15272025121621[[#This Row],[مزد مبنا]]*(Data15272025121621[[#This Row],[روز بیمه]]/list_info302332152027[تعداد روز ماه]),0)</f>
        <v>29339220</v>
      </c>
      <c r="AD39" s="53">
        <f>ROUND(2.5*(Data15272025121621[[#This Row],[پایه سنواتی]]+Data15272025121621[[#This Row],[مزد روزانه ]])*0,0)</f>
        <v>0</v>
      </c>
      <c r="AE39" s="48" cm="1">
        <f t="array" ref="AE39">ROUND(22000000*Data15272025121621[[#This Row],[روز بیمه]]/list_info302332152027[تعداد روز ماه],0)</f>
        <v>22000000</v>
      </c>
      <c r="AF39" s="48" cm="1">
        <f t="array" ref="AF39">ROUND(list_info302332152027[حق مسکن]*Data15272025121621[[#This Row],[روز بیمه]]/list_info302332152027[تعداد روز ماه],0)</f>
        <v>30000000</v>
      </c>
      <c r="AG39" s="47" cm="1">
        <f t="array" ref="AG39">ROUND(IF(Data15272025121621[[#This Row],[وضعیت تاهل]]="متاهل",list_info302332152027[حق تاهل],0)*Data15272025121621[[#This Row],[روز بیمه]]/list_info302332152027[تعداد روز ماه],0)</f>
        <v>5000000</v>
      </c>
      <c r="AH39" s="47" cm="1">
        <f t="array" ref="AH39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39" s="57" cm="1">
        <f t="array" ref="AI39">list_info302332152027[[درصد فوق العاده جذب تخصصی ماهیانه ]]*Data15272025121621[[#This Row],[مزد روزانه ]]*Data15272025121621[[#This Row],[روز بیمه]]</f>
        <v>0</v>
      </c>
      <c r="AJ39" s="57" cm="1">
        <f t="array" ref="AJ39">list_info302332152027[درصد فوق العاده بدی آب و هوا]*Data15272025121621[[#This Row],[مزد روزانه ]]*Data15272025121621[[#This Row],[روز بیمه]]</f>
        <v>0</v>
      </c>
      <c r="AK39" s="57" cm="1">
        <f t="array" ref="AK39">list_info302332152027[[فوق العاده جذب تخصصی دوری از خانواده ]]*Data15272025121621[[#This Row],[مزد روزانه ]]*Data15272025121621[[#This Row],[روز بیمه]]</f>
        <v>0</v>
      </c>
      <c r="AL39" s="57" cm="1">
        <f t="array" ref="AL39">list_info302332152027[فوق العاده پارس جنوبی]*Data15272025121621[[#This Row],[مزد روزانه ]]*Data15272025121621[[#This Row],[روز بیمه]]</f>
        <v>0</v>
      </c>
      <c r="AM39" s="53" cm="1">
        <f t="array" ref="AM39">ROUND((Data15272025121621[[#This Row],[روز بیمه]]/list_info302332152027[تعداد روز ماه])*Data15272025121621[[#This Row],[تعداد فرزند]]*list_info302332152027[حق اولاد],0)</f>
        <v>66502196</v>
      </c>
      <c r="AN39" s="53" cm="1">
        <f t="array" ref="AN39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39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266423340</v>
      </c>
      <c r="AP39" s="48">
        <f>ROUND(Data15272025121621[[#This Row],[سایر مزایا]]+Data15272025121621[[#This Row],[اضافه کار]]+Data15272025121621[[#This Row],[جمعه کاری]],0)</f>
        <v>209423340</v>
      </c>
      <c r="AQ39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123502196</v>
      </c>
      <c r="AR39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319934366</v>
      </c>
      <c r="AS39" s="47">
        <f>Data15272025121621[[#This Row],[روز بیمه]]*Data15272025121621[[#This Row],[پایه سنواتی]]*Data15272025121621[[#This Row],[تعداد سال کارکرد]]</f>
        <v>0</v>
      </c>
      <c r="AT39" s="53">
        <f>ROUND(Data15272025121621[[#This Row],[جمع حقوق و مزایا مشمول بیمه]]*0.07,0)</f>
        <v>31382855</v>
      </c>
      <c r="AU39" s="53">
        <f>ROUND(Data15272025121621[[#This Row],[جمع حقوق و مزایا مشمول بیمه]]*0.2,0)</f>
        <v>89665301</v>
      </c>
      <c r="AV39" s="53">
        <f>ROUND(Data15272025121621[[#This Row],[جمع حقوق و مزایا مشمول بیمه]]*0.03,0)</f>
        <v>13449795</v>
      </c>
      <c r="AW39" s="53">
        <f>Data15272025121621[[#This Row],[بیمه بیکاری]]+Data15272025121621[[#This Row],[بیمه سهم کارفرما]]+Data15272025121621[[#This Row],[بیمه سهم کارگر]]</f>
        <v>134497951</v>
      </c>
      <c r="AX39" s="48">
        <f>Data15272025121621[[#This Row],[روز بیمه]]*Data15272025121621[[#This Row],[مزد مبنا]]</f>
        <v>181903164</v>
      </c>
      <c r="AY39" s="48">
        <f>Data15272025121621[[#This Row],[حقوق پایه]]+Data15272025121621[[#This Row],[مزایا مستمر مشمول مالیات]]</f>
        <v>305405360</v>
      </c>
      <c r="AZ39" s="49">
        <f>(Data15272025121621[[#This Row],[حقوق پایه]]+Data15272025121621[[#This Row],[ مزایا مشمول]])*Data15272025121621[[#This Row],[بیمه]]</f>
        <v>448326504</v>
      </c>
      <c r="BA39" s="54">
        <f>ROUND(((Data15272025121621[[#This Row],[ساعت کارکرد]]/Data15272025121621[[#This Row],[کارکرد قرارداد شده]])*Data15272025121621[[#This Row],[حقوق قرارداد شده]]),0)</f>
        <v>768260870</v>
      </c>
      <c r="BB39" s="54">
        <f>Data15272025121621[[#This Row],[بیمه سهم کارگر]]</f>
        <v>31382855</v>
      </c>
      <c r="BC39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736878014</v>
      </c>
      <c r="BD39" s="125" t="str">
        <f>_xlfn.XLOOKUP(Data15272025121621[[#This Row],[کد ملی]],emp_info[کد ملی],emp_info[شماره حساب])</f>
        <v>0380028500009</v>
      </c>
      <c r="BE39" s="50">
        <f>TRUNC(Data15272025121621[[#This Row],[حقوق خالص]]-Data15272025121621[[#This Row],[کسر مساعده]])</f>
        <v>736878014</v>
      </c>
      <c r="BF39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39" s="2">
        <v>250560439</v>
      </c>
      <c r="BI39" s="2">
        <v>168286241</v>
      </c>
      <c r="BJ39" s="20">
        <f t="shared" si="0"/>
        <v>209423340</v>
      </c>
      <c r="BL39" s="2">
        <f>Data15272025121621[[#This Row],[بیمه]]</f>
        <v>1</v>
      </c>
      <c r="BM39" s="114" t="str" cm="1">
        <f t="array" ref="BM39">DSKKAR1817292231141823[DSK_ID]</f>
        <v>4894290013</v>
      </c>
      <c r="BN39" s="115" t="str" cm="1">
        <f t="array" ref="BN39">DSKKAR1817292231141823[DSK_YY]</f>
        <v>05</v>
      </c>
      <c r="BO39" s="115" t="str" cm="1">
        <f t="array" ref="BO39">DSKKAR1817292231141823[DSK_MM]</f>
        <v>04</v>
      </c>
      <c r="BP39" s="116" t="str" cm="1">
        <f t="array" ref="BP39">DSKKAR1817292231141823[DSK_LISTNO]</f>
        <v>01</v>
      </c>
      <c r="BQ39" s="117">
        <f>_xlfn.XLOOKUP(Data15272025121621[[#This Row],[کد ملی]],emp_info[کد ملی],emp_info[شماره بیمه],"یافت نشد")</f>
        <v>56960190</v>
      </c>
      <c r="BR39" s="116" t="str">
        <f>_xlfn.XLOOKUP(Data15272025121621[[#This Row],[کد ملی]],emp_info[کد ملی],emp_info[نام],"یافت نشد")</f>
        <v>ابراهیم</v>
      </c>
      <c r="BS39" s="116" t="str">
        <f>_xlfn.XLOOKUP(Data15272025121621[[#This Row],[کد ملی]],emp_info[کد ملی],emp_info[نام خانوادگی],"یافت نشد")</f>
        <v>رشیدی</v>
      </c>
      <c r="BT39" s="116" t="str">
        <f>_xlfn.XLOOKUP(Data15272025121621[[#This Row],[کد ملی]],emp_info[کد ملی],emp_info[نام  پدر],"یافت نشد")</f>
        <v>اسکندر</v>
      </c>
      <c r="BU39" s="116" t="str">
        <f>_xlfn.XLOOKUP(Data15272025121621[[#This Row],[کد ملی]],emp_info[کد ملی],emp_info[شماره شناسنامه],"یافت نشد")</f>
        <v>3</v>
      </c>
      <c r="BV39" s="116" t="str">
        <f>_xlfn.XLOOKUP(Data15272025121621[[#This Row],[کد ملی]],emp_info[کد ملی],emp_info[محل صدور],"یافت نشد")</f>
        <v>رامشیر</v>
      </c>
      <c r="BW39" s="116">
        <f>_xlfn.XLOOKUP(Data15272025121621[[#This Row],[کد ملی]],emp_info[کد ملی],emp_info[تاریخ صدور],"یافت نشد")</f>
        <v>0</v>
      </c>
      <c r="BX39" s="116">
        <f>_xlfn.XLOOKUP(Data15272025121621[[#This Row],[کد ملی]],emp_info[کد ملی],emp_info[تاریخ تولد],"یافت نشد")</f>
        <v>13540101</v>
      </c>
      <c r="BY39" s="116" t="str">
        <f>_xlfn.XLOOKUP(Data15272025121621[[#This Row],[کد ملی]],emp_info[کد ملی],emp_info[جنسیت],"یافت نشد")</f>
        <v>مرد</v>
      </c>
      <c r="BZ39" s="116" t="s">
        <v>122</v>
      </c>
      <c r="CA39" s="116" t="str">
        <f>_xlfn.XLOOKUP(Data15272025121621[[#This Row],[کد ملی]],emp_info[کد ملی],emp_info[سمت شغل],"یافت نشد")</f>
        <v>انباردار</v>
      </c>
      <c r="CB39" s="116">
        <f>_xlfn.XLOOKUP(Data15272025121621[[#This Row],[کد ملی]],emp_info[کد ملی],emp_info[تاریخ شروع به کار],"یافت نشد")</f>
        <v>14050301</v>
      </c>
      <c r="CC39" s="118">
        <f>_xlfn.XLOOKUP(Data15272025121621[[#This Row],[کد ملی]],emp_info[کد ملی],emp_info[ [ تاریخ پایان کار] ],"یافت نشد")</f>
        <v>0</v>
      </c>
      <c r="CD39" s="118">
        <f>Data15272025121621[[#This Row],[روز بیمه]]</f>
        <v>31</v>
      </c>
      <c r="CE39" s="118">
        <f>Data15272025121621[[#This Row],[مزد روزانه ]]</f>
        <v>5867844</v>
      </c>
      <c r="CF39" s="118">
        <f>Data15272025121621[[#This Row],[حقوق پایه]]</f>
        <v>181903164</v>
      </c>
      <c r="CG39" s="118">
        <f>Data15272025121621[[#This Row],[ مزایا مشمول]]</f>
        <v>266423340</v>
      </c>
      <c r="CH39" s="118">
        <f>Data15272025121621[[#This Row],[جمع حقوق و مزایا مشمول بیمه]]</f>
        <v>448326504</v>
      </c>
      <c r="CI39" s="117">
        <f>Data15272025121621[[#This Row],[حقوق ناخالص]]</f>
        <v>768260870</v>
      </c>
      <c r="CJ39" s="117">
        <f>Data15272025121621[[#This Row],[بیمه سهم کارگر]]</f>
        <v>31382855</v>
      </c>
      <c r="CK39" s="116">
        <v>28</v>
      </c>
      <c r="CL39" s="116" t="str">
        <f>TEXT(_xlfn.XLOOKUP(Data15272025121621[[#This Row],[کد ملی]],emp_info[کد ملی],emp_info[کد شغل],"یافت نشد"),"000000")</f>
        <v>000255</v>
      </c>
      <c r="CM39" s="116">
        <f>Data15272025121621[[#This Row],[کد ملی]]</f>
        <v>6629827821</v>
      </c>
      <c r="CN39" s="116">
        <f>Data15272025121621[[#This Row],[پایه سنواتی]]*Data15272025121621[[#This Row],[تعداد سال کارکرد]]</f>
        <v>0</v>
      </c>
      <c r="CO39" s="117">
        <f>Data15272025121621[[#This Row],[حق تاهل]]</f>
        <v>5000000</v>
      </c>
    </row>
    <row r="40" spans="1:93" ht="24.95" customHeight="1">
      <c r="A40" s="140" t="str">
        <f>_xlfn.XLOOKUP(Data15272025121621[[#This Row],[کد ملی]],emp_info[کد ملی],emp_info[گروه])</f>
        <v>شاغل</v>
      </c>
      <c r="B40" s="121">
        <f>ROWS($A$1:A34)</f>
        <v>34</v>
      </c>
      <c r="C40" s="121">
        <f>_xlfn.XLOOKUP(Data15272025121621[[#This Row],[کد ملی]],emp_info[کد ملی],emp_info[maliat])</f>
        <v>1</v>
      </c>
      <c r="D40" s="121">
        <f>_xlfn.XLOOKUP(Data15272025121621[[#This Row],[کد ملی]],emp_info[کد ملی],emp_info[بیمه])</f>
        <v>1</v>
      </c>
      <c r="E40" s="121">
        <f>_xlfn.XLOOKUP(Data15272025121621[[#This Row],[کد ملی]],emp_info[کد ملی],emp_info[bank])</f>
        <v>1</v>
      </c>
      <c r="F40" s="5">
        <v>4680036591</v>
      </c>
      <c r="G40" s="47" t="str">
        <f>_xlfn.XLOOKUP(Data15272025121621[[#This Row],[کد ملی]],emp_info[کد ملی],emp_info[نام])&amp;" "&amp;_xlfn.XLOOKUP(Data15272025121621[[#This Row],[کد ملی]],emp_info[کد ملی],emp_info[نام خانوادگی])</f>
        <v>امین داودی مفرد</v>
      </c>
      <c r="H40" s="47" t="str">
        <f>_xlfn.XLOOKUP(Data15272025121621[[#This Row],[کد ملی]],emp_info[کد ملی],emp_info[وضعیت تاهل],"یافت نشد")</f>
        <v>متاهل</v>
      </c>
      <c r="I40" s="47">
        <f>_xlfn.XLOOKUP(Data15272025121621[[#This Row],[کد ملی]],emp_info[کد ملی],emp_info[تعداد فرزند],"یافت نشد")</f>
        <v>0</v>
      </c>
      <c r="J40" s="47">
        <f>_xlfn.XLOOKUP(Data15272025121621[[#This Row],[کد ملی]],emp_info[کد ملی],emp_info[ساعت کار قرارداد شده],"یافت نشد")</f>
        <v>230</v>
      </c>
      <c r="K40" s="53">
        <f>_xlfn.XLOOKUP(Data15272025121621[[#This Row],[کد ملی]],emp_info[کد ملی],emp_info[حقوق قرارداد شده],"یافت نشد")</f>
        <v>440000000</v>
      </c>
      <c r="L40" s="47">
        <f>_xlfn.XLOOKUP(Data15272025121621[[#This Row],[کد ملی]],emp_info[کد ملی],emp_info[گروه شغلی],"یافت نشد")</f>
        <v>10</v>
      </c>
      <c r="M40" s="48">
        <f>_xlfn.XLOOKUP(Data15272025121621[[#This Row],[کد ملی]],emp_info[کد ملی],emp_info[[مزد روزانه ]],"یافت نشد")</f>
        <v>5867844</v>
      </c>
      <c r="N40" s="47">
        <f>_xlfn.XLOOKUP(Data15272025121621[[#This Row],[کد ملی]],emp_info[کد ملی],emp_info[پایه سنواتی],"یافت نشد")</f>
        <v>168467</v>
      </c>
      <c r="O40" s="47">
        <f>_xlfn.XLOOKUP(Data15272025121621[[#This Row],[کد ملی]],emp_info[کد ملی],emp_info[تعداد سال کارکرد],"یافت نشد")</f>
        <v>0</v>
      </c>
      <c r="P40" s="47">
        <f>_xlfn.XLOOKUP(Data15272025121621[[#This Row],[کد ملی]],emp_info[کد ملی],emp_info[مزد مبنا],"یافت نشد")</f>
        <v>5867844</v>
      </c>
      <c r="Q40" s="47">
        <v>210</v>
      </c>
      <c r="R40" s="47">
        <v>31</v>
      </c>
      <c r="S40" s="47">
        <v>0</v>
      </c>
      <c r="T40" s="47">
        <v>0</v>
      </c>
      <c r="U40" s="49">
        <f>TRUNC(Data15272025121621[[#This Row],[حق ماموریت]]/Data15272025121621[[#This Row],[مزد مبنا]])</f>
        <v>4</v>
      </c>
      <c r="V40" s="47">
        <v>0</v>
      </c>
      <c r="W40" s="53">
        <v>0</v>
      </c>
      <c r="X40" s="53">
        <v>0</v>
      </c>
      <c r="Y40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40" s="53">
        <v>59413568</v>
      </c>
      <c r="AA40" s="49" cm="1">
        <f t="array" ref="AA4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35542098</v>
      </c>
      <c r="AB40" s="49" cm="1">
        <f t="array" ref="AB40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23871470</v>
      </c>
      <c r="AC40" s="53" cm="1">
        <f t="array" ref="AC40">ROUND(5*Data15272025121621[[#This Row],[مزد مبنا]]*(Data15272025121621[[#This Row],[روز بیمه]]/list_info302332152027[تعداد روز ماه]),0)</f>
        <v>29339220</v>
      </c>
      <c r="AD40" s="53">
        <f>ROUND(2.5*(Data15272025121621[[#This Row],[پایه سنواتی]]+Data15272025121621[[#This Row],[مزد روزانه ]])*0,0)</f>
        <v>0</v>
      </c>
      <c r="AE40" s="48" cm="1">
        <f t="array" ref="AE40">ROUND(22000000*Data15272025121621[[#This Row],[روز بیمه]]/list_info302332152027[تعداد روز ماه],0)</f>
        <v>22000000</v>
      </c>
      <c r="AF40" s="48" cm="1">
        <f t="array" ref="AF40">ROUND(list_info302332152027[حق مسکن]*Data15272025121621[[#This Row],[روز بیمه]]/list_info302332152027[تعداد روز ماه],0)</f>
        <v>30000000</v>
      </c>
      <c r="AG40" s="47" cm="1">
        <f t="array" ref="AG40">ROUND(IF(Data15272025121621[[#This Row],[وضعیت تاهل]]="متاهل",list_info302332152027[حق تاهل],0)*Data15272025121621[[#This Row],[روز بیمه]]/list_info302332152027[تعداد روز ماه],0)</f>
        <v>5000000</v>
      </c>
      <c r="AH40" s="47" cm="1">
        <f t="array" ref="AH40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40" s="57" cm="1">
        <f t="array" ref="AI40">list_info302332152027[[درصد فوق العاده جذب تخصصی ماهیانه ]]*Data15272025121621[[#This Row],[مزد روزانه ]]*Data15272025121621[[#This Row],[روز بیمه]]</f>
        <v>0</v>
      </c>
      <c r="AJ40" s="57" cm="1">
        <f t="array" ref="AJ40">list_info302332152027[درصد فوق العاده بدی آب و هوا]*Data15272025121621[[#This Row],[مزد روزانه ]]*Data15272025121621[[#This Row],[روز بیمه]]</f>
        <v>0</v>
      </c>
      <c r="AK40" s="57" cm="1">
        <f t="array" ref="AK40">list_info302332152027[[فوق العاده جذب تخصصی دوری از خانواده ]]*Data15272025121621[[#This Row],[مزد روزانه ]]*Data15272025121621[[#This Row],[روز بیمه]]</f>
        <v>0</v>
      </c>
      <c r="AL40" s="57" cm="1">
        <f t="array" ref="AL40">list_info302332152027[فوق العاده پارس جنوبی]*Data15272025121621[[#This Row],[مزد روزانه ]]*Data15272025121621[[#This Row],[روز بیمه]]</f>
        <v>0</v>
      </c>
      <c r="AM40" s="53" cm="1">
        <f t="array" ref="AM40">ROUND((Data15272025121621[[#This Row],[روز بیمه]]/list_info302332152027[تعداد روز ماه])*Data15272025121621[[#This Row],[تعداد فرزند]]*list_info302332152027[حق اولاد],0)</f>
        <v>0</v>
      </c>
      <c r="AN40" s="53" cm="1">
        <f t="array" ref="AN40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40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116413568</v>
      </c>
      <c r="AP40" s="48">
        <f>ROUND(Data15272025121621[[#This Row],[سایر مزایا]]+Data15272025121621[[#This Row],[اضافه کار]]+Data15272025121621[[#This Row],[جمعه کاری]],0)</f>
        <v>59413568</v>
      </c>
      <c r="AQ40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57000000</v>
      </c>
      <c r="AR40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103422398</v>
      </c>
      <c r="AS40" s="47">
        <f>Data15272025121621[[#This Row],[روز بیمه]]*Data15272025121621[[#This Row],[پایه سنواتی]]*Data15272025121621[[#This Row],[تعداد سال کارکرد]]</f>
        <v>0</v>
      </c>
      <c r="AT40" s="53">
        <f>ROUND(Data15272025121621[[#This Row],[جمع حقوق و مزایا مشمول بیمه]]*0.07,0)</f>
        <v>20882171</v>
      </c>
      <c r="AU40" s="53">
        <f>ROUND(Data15272025121621[[#This Row],[جمع حقوق و مزایا مشمول بیمه]]*0.2,0)</f>
        <v>59663346</v>
      </c>
      <c r="AV40" s="53">
        <f>ROUND(Data15272025121621[[#This Row],[جمع حقوق و مزایا مشمول بیمه]]*0.03,0)</f>
        <v>8949502</v>
      </c>
      <c r="AW40" s="53">
        <f>Data15272025121621[[#This Row],[بیمه بیکاری]]+Data15272025121621[[#This Row],[بیمه سهم کارفرما]]+Data15272025121621[[#This Row],[بیمه سهم کارگر]]</f>
        <v>89495019</v>
      </c>
      <c r="AX40" s="48">
        <f>Data15272025121621[[#This Row],[روز بیمه]]*Data15272025121621[[#This Row],[مزد مبنا]]</f>
        <v>181903164</v>
      </c>
      <c r="AY40" s="48">
        <f>Data15272025121621[[#This Row],[حقوق پایه]]+Data15272025121621[[#This Row],[مزایا مستمر مشمول مالیات]]</f>
        <v>238903164</v>
      </c>
      <c r="AZ40" s="49">
        <f>(Data15272025121621[[#This Row],[حقوق پایه]]+Data15272025121621[[#This Row],[ مزایا مشمول]])*Data15272025121621[[#This Row],[بیمه]]</f>
        <v>298316732</v>
      </c>
      <c r="BA40" s="54">
        <f>ROUND(((Data15272025121621[[#This Row],[ساعت کارکرد]]/Data15272025121621[[#This Row],[کارکرد قرارداد شده]])*Data15272025121621[[#This Row],[حقوق قرارداد شده]]),0)</f>
        <v>401739130</v>
      </c>
      <c r="BB40" s="54">
        <f>Data15272025121621[[#This Row],[بیمه سهم کارگر]]</f>
        <v>20882171</v>
      </c>
      <c r="BC40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380856959</v>
      </c>
      <c r="BD40" s="125" t="str">
        <f>_xlfn.XLOOKUP(Data15272025121621[[#This Row],[کد ملی]],emp_info[کد ملی],emp_info[شماره حساب])</f>
        <v>0221545184005</v>
      </c>
      <c r="BE40" s="50">
        <f>TRUNC(Data15272025121621[[#This Row],[حقوق خالص]]-Data15272025121621[[#This Row],[کسر مساعده]])</f>
        <v>380856959</v>
      </c>
      <c r="BF40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40" s="2">
        <v>71084196</v>
      </c>
      <c r="BI40" s="2">
        <v>47742940</v>
      </c>
      <c r="BJ40" s="20">
        <f t="shared" si="0"/>
        <v>59413568</v>
      </c>
      <c r="BL40" s="2">
        <f>Data15272025121621[[#This Row],[بیمه]]</f>
        <v>1</v>
      </c>
      <c r="BM40" s="114" t="str" cm="1">
        <f t="array" ref="BM40">DSKKAR1817292231141823[DSK_ID]</f>
        <v>4894290013</v>
      </c>
      <c r="BN40" s="115" t="str" cm="1">
        <f t="array" ref="BN40">DSKKAR1817292231141823[DSK_YY]</f>
        <v>05</v>
      </c>
      <c r="BO40" s="115" t="str" cm="1">
        <f t="array" ref="BO40">DSKKAR1817292231141823[DSK_MM]</f>
        <v>04</v>
      </c>
      <c r="BP40" s="116" t="str" cm="1">
        <f t="array" ref="BP40">DSKKAR1817292231141823[DSK_LISTNO]</f>
        <v>01</v>
      </c>
      <c r="BQ40" s="117">
        <f>_xlfn.XLOOKUP(Data15272025121621[[#This Row],[کد ملی]],emp_info[کد ملی],emp_info[شماره بیمه],"یافت نشد")</f>
        <v>57805484</v>
      </c>
      <c r="BR40" s="116" t="str">
        <f>_xlfn.XLOOKUP(Data15272025121621[[#This Row],[کد ملی]],emp_info[کد ملی],emp_info[نام],"یافت نشد")</f>
        <v>امین</v>
      </c>
      <c r="BS40" s="116" t="str">
        <f>_xlfn.XLOOKUP(Data15272025121621[[#This Row],[کد ملی]],emp_info[کد ملی],emp_info[نام خانوادگی],"یافت نشد")</f>
        <v>داودی مفرد</v>
      </c>
      <c r="BT40" s="116" t="str">
        <f>_xlfn.XLOOKUP(Data15272025121621[[#This Row],[کد ملی]],emp_info[کد ملی],emp_info[نام  پدر],"یافت نشد")</f>
        <v>امیرحسین</v>
      </c>
      <c r="BU40" s="116" t="str">
        <f>_xlfn.XLOOKUP(Data15272025121621[[#This Row],[کد ملی]],emp_info[کد ملی],emp_info[شماره شناسنامه],"یافت نشد")</f>
        <v>4680036591</v>
      </c>
      <c r="BV40" s="116" t="str">
        <f>_xlfn.XLOOKUP(Data15272025121621[[#This Row],[کد ملی]],emp_info[کد ملی],emp_info[محل صدور],"یافت نشد")</f>
        <v>اردل</v>
      </c>
      <c r="BW40" s="116">
        <f>_xlfn.XLOOKUP(Data15272025121621[[#This Row],[کد ملی]],emp_info[کد ملی],emp_info[تاریخ صدور],"یافت نشد")</f>
        <v>0</v>
      </c>
      <c r="BX40" s="116">
        <f>_xlfn.XLOOKUP(Data15272025121621[[#This Row],[کد ملی]],emp_info[کد ملی],emp_info[تاریخ تولد],"یافت نشد")</f>
        <v>13681019</v>
      </c>
      <c r="BY40" s="116" t="str">
        <f>_xlfn.XLOOKUP(Data15272025121621[[#This Row],[کد ملی]],emp_info[کد ملی],emp_info[جنسیت],"یافت نشد")</f>
        <v>مرد</v>
      </c>
      <c r="BZ40" s="116" t="s">
        <v>122</v>
      </c>
      <c r="CA40" s="116" t="str">
        <f>_xlfn.XLOOKUP(Data15272025121621[[#This Row],[کد ملی]],emp_info[کد ملی],emp_info[سمت شغل],"یافت نشد")</f>
        <v>انباردار</v>
      </c>
      <c r="CB40" s="116">
        <f>_xlfn.XLOOKUP(Data15272025121621[[#This Row],[کد ملی]],emp_info[کد ملی],emp_info[تاریخ شروع به کار],"یافت نشد")</f>
        <v>14041101</v>
      </c>
      <c r="CC40" s="118">
        <f>_xlfn.XLOOKUP(Data15272025121621[[#This Row],[کد ملی]],emp_info[کد ملی],emp_info[ [ تاریخ پایان کار] ],"یافت نشد")</f>
        <v>0</v>
      </c>
      <c r="CD40" s="118">
        <f>Data15272025121621[[#This Row],[روز بیمه]]</f>
        <v>31</v>
      </c>
      <c r="CE40" s="118">
        <f>Data15272025121621[[#This Row],[مزد روزانه ]]</f>
        <v>5867844</v>
      </c>
      <c r="CF40" s="118">
        <f>Data15272025121621[[#This Row],[حقوق پایه]]</f>
        <v>181903164</v>
      </c>
      <c r="CG40" s="118">
        <f>Data15272025121621[[#This Row],[ مزایا مشمول]]</f>
        <v>116413568</v>
      </c>
      <c r="CH40" s="118">
        <f>Data15272025121621[[#This Row],[جمع حقوق و مزایا مشمول بیمه]]</f>
        <v>298316732</v>
      </c>
      <c r="CI40" s="117">
        <f>Data15272025121621[[#This Row],[حقوق ناخالص]]</f>
        <v>401739130</v>
      </c>
      <c r="CJ40" s="117">
        <f>Data15272025121621[[#This Row],[بیمه سهم کارگر]]</f>
        <v>20882171</v>
      </c>
      <c r="CK40" s="116">
        <v>29</v>
      </c>
      <c r="CL40" s="116" t="str">
        <f>TEXT(_xlfn.XLOOKUP(Data15272025121621[[#This Row],[کد ملی]],emp_info[کد ملی],emp_info[کد شغل],"یافت نشد"),"000000")</f>
        <v>000255</v>
      </c>
      <c r="CM40" s="116">
        <f>Data15272025121621[[#This Row],[کد ملی]]</f>
        <v>4680036591</v>
      </c>
      <c r="CN40" s="116">
        <f>Data15272025121621[[#This Row],[پایه سنواتی]]*Data15272025121621[[#This Row],[تعداد سال کارکرد]]</f>
        <v>0</v>
      </c>
      <c r="CO40" s="117">
        <f>Data15272025121621[[#This Row],[حق تاهل]]</f>
        <v>5000000</v>
      </c>
    </row>
    <row r="41" spans="1:93" ht="24.95" customHeight="1">
      <c r="A41" s="140" t="str">
        <f>_xlfn.XLOOKUP(Data15272025121621[[#This Row],[کد ملی]],emp_info[کد ملی],emp_info[گروه])</f>
        <v>شاغل</v>
      </c>
      <c r="B41" s="121">
        <f>ROWS($A$1:A35)</f>
        <v>35</v>
      </c>
      <c r="C41" s="121">
        <f>_xlfn.XLOOKUP(Data15272025121621[[#This Row],[کد ملی]],emp_info[کد ملی],emp_info[maliat])</f>
        <v>1</v>
      </c>
      <c r="D41" s="121">
        <f>_xlfn.XLOOKUP(Data15272025121621[[#This Row],[کد ملی]],emp_info[کد ملی],emp_info[بیمه])</f>
        <v>1</v>
      </c>
      <c r="E41" s="121">
        <f>_xlfn.XLOOKUP(Data15272025121621[[#This Row],[کد ملی]],emp_info[کد ملی],emp_info[bank])</f>
        <v>1</v>
      </c>
      <c r="F41" s="5">
        <v>1130448002</v>
      </c>
      <c r="G41" s="47" t="str">
        <f>_xlfn.XLOOKUP(Data15272025121621[[#This Row],[کد ملی]],emp_info[کد ملی],emp_info[نام])&amp;" "&amp;_xlfn.XLOOKUP(Data15272025121621[[#This Row],[کد ملی]],emp_info[کد ملی],emp_info[نام خانوادگی])</f>
        <v>امیر حسین نوری فروشانی</v>
      </c>
      <c r="H41" s="47" t="str">
        <f>_xlfn.XLOOKUP(Data15272025121621[[#This Row],[کد ملی]],emp_info[کد ملی],emp_info[وضعیت تاهل],"یافت نشد")</f>
        <v>مجرد</v>
      </c>
      <c r="I41" s="47">
        <f>_xlfn.XLOOKUP(Data15272025121621[[#This Row],[کد ملی]],emp_info[کد ملی],emp_info[تعداد فرزند],"یافت نشد")</f>
        <v>0</v>
      </c>
      <c r="J41" s="47">
        <f>_xlfn.XLOOKUP(Data15272025121621[[#This Row],[کد ملی]],emp_info[کد ملی],emp_info[ساعت کار قرارداد شده],"یافت نشد")</f>
        <v>230</v>
      </c>
      <c r="K41" s="53">
        <f>_xlfn.XLOOKUP(Data15272025121621[[#This Row],[کد ملی]],emp_info[کد ملی],emp_info[حقوق قرارداد شده],"یافت نشد")</f>
        <v>400000000</v>
      </c>
      <c r="L41" s="47">
        <f>_xlfn.XLOOKUP(Data15272025121621[[#This Row],[کد ملی]],emp_info[کد ملی],emp_info[گروه شغلی],"یافت نشد")</f>
        <v>10</v>
      </c>
      <c r="M41" s="48">
        <f>_xlfn.XLOOKUP(Data15272025121621[[#This Row],[کد ملی]],emp_info[کد ملی],emp_info[[مزد روزانه ]],"یافت نشد")</f>
        <v>5867844</v>
      </c>
      <c r="N41" s="47">
        <f>_xlfn.XLOOKUP(Data15272025121621[[#This Row],[کد ملی]],emp_info[کد ملی],emp_info[پایه سنواتی],"یافت نشد")</f>
        <v>168467</v>
      </c>
      <c r="O41" s="47">
        <f>_xlfn.XLOOKUP(Data15272025121621[[#This Row],[کد ملی]],emp_info[کد ملی],emp_info[تعداد سال کارکرد],"یافت نشد")</f>
        <v>0</v>
      </c>
      <c r="P41" s="47">
        <f>_xlfn.XLOOKUP(Data15272025121621[[#This Row],[کد ملی]],emp_info[کد ملی],emp_info[مزد مبنا],"یافت نشد")</f>
        <v>5867844</v>
      </c>
      <c r="Q41" s="47">
        <v>160</v>
      </c>
      <c r="R41" s="47">
        <v>31</v>
      </c>
      <c r="S41" s="47">
        <v>0</v>
      </c>
      <c r="T41" s="47">
        <v>0</v>
      </c>
      <c r="U41" s="49">
        <f>TRUNC(Data15272025121621[[#This Row],[حق ماموریت]]/Data15272025121621[[#This Row],[مزد مبنا]])</f>
        <v>0</v>
      </c>
      <c r="V41" s="47">
        <v>0</v>
      </c>
      <c r="W41" s="53">
        <v>0</v>
      </c>
      <c r="X41" s="53">
        <v>0</v>
      </c>
      <c r="Y41" s="48">
        <f>((0.4*(Data15272025121621[[#This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پایه]]))/Data15272025121621[[#This Row],[روز بیمه]])*Data15272025121621[[#This Row],[ روز جمعه کاری]]</f>
        <v>0</v>
      </c>
      <c r="Z41" s="53">
        <v>174438</v>
      </c>
      <c r="AA41" s="49" cm="1">
        <f t="array" ref="AA4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اولاد]]))*(list_info302332152027[هزینه سفر یک روز]/(Data15272025121621[[#This Row],[مزد مبنا]]+list_info302332152027[هزینه سفر یک روز])),0)</f>
        <v>104351</v>
      </c>
      <c r="AB41" s="49" cm="1">
        <f t="array" ref="AB41">ROUND((Data15272025121621[[#This Row],[حقوق ناخالص]]-((Data15272025121621[[#This Row],[ مزایا مشمول]]+Data15272025121621[[#This Row],[حقوق پایه]]))-SUM(Data15272025121621[[#This Row],[مرخصی]],Data15272025121621[[#This Row],[عیدی و پادش]],Data15272025121621[[#This Row],[حق سنوات]],Data15272025121621[[#This Row],[حق اولاد]]))*(Data15272025121621[[#This Row],[مزد مبنا]]/(Data15272025121621[[#This Row],[مزد مبنا]]+list_info302332152027[هزینه سفر یک روز])),0)</f>
        <v>70087</v>
      </c>
      <c r="AC41" s="53" cm="1">
        <f t="array" ref="AC41">ROUND(5*Data15272025121621[[#This Row],[مزد مبنا]]*(Data15272025121621[[#This Row],[روز بیمه]]/list_info302332152027[تعداد روز ماه]),0)</f>
        <v>29339220</v>
      </c>
      <c r="AD41" s="53">
        <f>ROUND(2.5*(Data15272025121621[[#This Row],[پایه سنواتی]]+Data15272025121621[[#This Row],[مزد روزانه ]])*0,0)</f>
        <v>0</v>
      </c>
      <c r="AE41" s="48" cm="1">
        <f t="array" ref="AE41">ROUND(22000000*Data15272025121621[[#This Row],[روز بیمه]]/list_info302332152027[تعداد روز ماه],0)</f>
        <v>22000000</v>
      </c>
      <c r="AF41" s="48" cm="1">
        <f t="array" ref="AF41">ROUND(list_info302332152027[حق مسکن]*Data15272025121621[[#This Row],[روز بیمه]]/list_info302332152027[تعداد روز ماه],0)</f>
        <v>30000000</v>
      </c>
      <c r="AG41" s="47" cm="1">
        <f t="array" ref="AG41">ROUND(IF(Data15272025121621[[#This Row],[وضعیت تاهل]]="متاهل",list_info302332152027[حق تاهل],0)*Data15272025121621[[#This Row],[روز بیمه]]/list_info302332152027[تعداد روز ماه],0)</f>
        <v>0</v>
      </c>
      <c r="AH41" s="47" cm="1">
        <f t="array" ref="AH41">list_info302332152027[ثابت فوق العاده ایاب و ذهاب]*Data15272025121621[[#This Row],[روز بیمه]]*list_info302332152027[[درصد فوق العاده ایاب و ذهاب  و کمک رفاهی ماهیانه  ]]</f>
        <v>0</v>
      </c>
      <c r="AI41" s="57" cm="1">
        <f t="array" ref="AI41">list_info302332152027[[درصد فوق العاده جذب تخصصی ماهیانه ]]*Data15272025121621[[#This Row],[مزد روزانه ]]*Data15272025121621[[#This Row],[روز بیمه]]</f>
        <v>0</v>
      </c>
      <c r="AJ41" s="57" cm="1">
        <f t="array" ref="AJ41">list_info302332152027[درصد فوق العاده بدی آب و هوا]*Data15272025121621[[#This Row],[مزد روزانه ]]*Data15272025121621[[#This Row],[روز بیمه]]</f>
        <v>0</v>
      </c>
      <c r="AK41" s="57" cm="1">
        <f t="array" ref="AK41">list_info302332152027[[فوق العاده جذب تخصصی دوری از خانواده ]]*Data15272025121621[[#This Row],[مزد روزانه ]]*Data15272025121621[[#This Row],[روز بیمه]]</f>
        <v>0</v>
      </c>
      <c r="AL41" s="57" cm="1">
        <f t="array" ref="AL41">list_info302332152027[فوق العاده پارس جنوبی]*Data15272025121621[[#This Row],[مزد روزانه ]]*Data15272025121621[[#This Row],[روز بیمه]]</f>
        <v>0</v>
      </c>
      <c r="AM41" s="53" cm="1">
        <f t="array" ref="AM41">ROUND((Data15272025121621[[#This Row],[روز بیمه]]/list_info302332152027[تعداد روز ماه])*Data15272025121621[[#This Row],[تعداد فرزند]]*list_info302332152027[حق اولاد],0)</f>
        <v>0</v>
      </c>
      <c r="AN41" s="53" cm="1">
        <f t="array" ref="AN41">(2.5*(Data15272025121621[[#This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Row],[حقوق پایه]]))/list_info302332152027[تعداد روز ماه]</f>
        <v>14669610</v>
      </c>
      <c r="AO41" s="48">
        <f>ROUND(Data15272025121621[[#This Row],[سایر مزایا]]+Data15272025121621[[#This Row],[اضافه کار]]+Data15272025121621[[#This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عسلویه]]+Data15272025121621[[#This Row],[جمعه کاری]],0)</f>
        <v>52174438</v>
      </c>
      <c r="AP41" s="48">
        <f>ROUND(Data15272025121621[[#This Row],[سایر مزایا]]+Data15272025121621[[#This Row],[اضافه کار]]+Data15272025121621[[#This Row],[جمعه کاری]],0)</f>
        <v>174438</v>
      </c>
      <c r="AQ41" s="48">
        <f>Data15272025121621[[#This Row],[حق اولاد]]+Data15272025121621[[#This Row],[حق تاهل]]+Data15272025121621[[#This Row],[حق مسکن]]+Data15272025121621[[#This Row],[بن خانوار]]+Data15272025121621[[#This Row],[ فوق العاده ایاب و ذهاب  و کمک رفاهی ]]+Data15272025121621[[#This Row],[فوق العاده جذب بازار کار]]+Data15272025121621[[#This Row],[فوق العاده بدی آب و هوا]]+Data15272025121621[[#This Row],[ فوق العاده جذب تخصصی دوری از خانواده ]]+Data15272025121621[[#This Row],[ فوق العاده مناطق پارسیان و عسلویه]]</f>
        <v>52000000</v>
      </c>
      <c r="AR41" s="53">
        <f>Data15272025121621[[#This Row],[حق ماموریت]]+Data15272025121621[[#This Row],[هزینه سفر]]+Data15272025121621[[#This Row],[مرخصی]]+Data15272025121621[[#This Row],[عیدی و پادش]]+Data15272025121621[[#This Row],[حق سنوات]]+Data15272025121621[[#This Row],[حق اولاد]]</f>
        <v>44183268</v>
      </c>
      <c r="AS41" s="47">
        <f>Data15272025121621[[#This Row],[روز بیمه]]*Data15272025121621[[#This Row],[پایه سنواتی]]*Data15272025121621[[#This Row],[تعداد سال کارکرد]]</f>
        <v>0</v>
      </c>
      <c r="AT41" s="53">
        <f>ROUND(Data15272025121621[[#This Row],[جمع حقوق و مزایا مشمول بیمه]]*0.07,0)</f>
        <v>16385432</v>
      </c>
      <c r="AU41" s="53">
        <f>ROUND(Data15272025121621[[#This Row],[جمع حقوق و مزایا مشمول بیمه]]*0.2,0)</f>
        <v>46815520</v>
      </c>
      <c r="AV41" s="53">
        <f>ROUND(Data15272025121621[[#This Row],[جمع حقوق و مزایا مشمول بیمه]]*0.03,0)</f>
        <v>7022328</v>
      </c>
      <c r="AW41" s="53">
        <f>Data15272025121621[[#This Row],[بیمه بیکاری]]+Data15272025121621[[#This Row],[بیمه سهم کارفرما]]+Data15272025121621[[#This Row],[بیمه سهم کارگر]]</f>
        <v>70223280</v>
      </c>
      <c r="AX41" s="48">
        <f>Data15272025121621[[#This Row],[روز بیمه]]*Data15272025121621[[#This Row],[مزد مبنا]]</f>
        <v>181903164</v>
      </c>
      <c r="AY41" s="48">
        <f>Data15272025121621[[#This Row],[حقوق پایه]]+Data15272025121621[[#This Row],[مزایا مستمر مشمول مالیات]]</f>
        <v>233903164</v>
      </c>
      <c r="AZ41" s="49">
        <f>(Data15272025121621[[#This Row],[حقوق پایه]]+Data15272025121621[[#This Row],[ مزایا مشمول]])*Data15272025121621[[#This Row],[بیمه]]</f>
        <v>234077602</v>
      </c>
      <c r="BA41" s="54">
        <f>ROUND(((Data15272025121621[[#This Row],[ساعت کارکرد]]/Data15272025121621[[#This Row],[کارکرد قرارداد شده]])*Data15272025121621[[#This Row],[حقوق قرارداد شده]]),0)</f>
        <v>278260870</v>
      </c>
      <c r="BB41" s="54">
        <f>Data15272025121621[[#This Row],[بیمه سهم کارگر]]</f>
        <v>16385432</v>
      </c>
      <c r="BC41" s="50">
        <f>TRUNC((Data15272025121621[[#This Row],[ساعت کارکرد]]/Data15272025121621[[#This Row],[کارکرد قرارداد شده]])*Data15272025121621[[#This Row],[حقوق قرارداد شده]])-Data15272025121621[[#This Row],[بیمه سهم کارگر]]-Data15272025121621[[#This Row],[مالیات]]</f>
        <v>261875437</v>
      </c>
      <c r="BD41" s="125">
        <f>_xlfn.XLOOKUP(Data15272025121621[[#This Row],[کد ملی]],emp_info[کد ملی],emp_info[شماره حساب])</f>
        <v>0</v>
      </c>
      <c r="BE41" s="50">
        <f>TRUNC(Data15272025121621[[#This Row],[حقوق خالص]]-Data15272025121621[[#This Row],[کسر مساعده]])</f>
        <v>261875437</v>
      </c>
      <c r="BF41" s="54">
        <f>(Data15272025121621[[#This Row],[حقوق و مزایای مستمر مالیات]]+Data15272025121621[[#This Row],[حق ماموریت]]+Data15272025121621[[#This Row],[هزینه سفر]]+Data15272025121621[[#This Row],[عیدی و پادش]]+Data15272025121621[[#This Row],[سایر مزایا]]+Data15272025121621[[#This Row],[اضافه کار]]+Data15272025121621[[#This Row],[حق سنوات]]+Data15272025121621[[#This Row],[جمعه کاری]])-Data15272025121621[[#This Row],[حقوق ناخالص]]</f>
        <v>0</v>
      </c>
      <c r="BH41" s="2">
        <v>208703</v>
      </c>
      <c r="BI41" s="2">
        <v>140173</v>
      </c>
      <c r="BJ41" s="20">
        <f t="shared" si="0"/>
        <v>174438</v>
      </c>
      <c r="BL41" s="2">
        <f>Data15272025121621[[#This Row],[بیمه]]</f>
        <v>1</v>
      </c>
      <c r="BM41" s="114" t="str" cm="1">
        <f t="array" ref="BM41">DSKKAR1817292231141823[DSK_ID]</f>
        <v>4894290013</v>
      </c>
      <c r="BN41" s="115" t="str" cm="1">
        <f t="array" ref="BN41">DSKKAR1817292231141823[DSK_YY]</f>
        <v>05</v>
      </c>
      <c r="BO41" s="115" t="str" cm="1">
        <f t="array" ref="BO41">DSKKAR1817292231141823[DSK_MM]</f>
        <v>04</v>
      </c>
      <c r="BP41" s="116" t="str" cm="1">
        <f t="array" ref="BP41">DSKKAR1817292231141823[DSK_LISTNO]</f>
        <v>01</v>
      </c>
      <c r="BQ41" s="117">
        <f>_xlfn.XLOOKUP(Data15272025121621[[#This Row],[کد ملی]],emp_info[کد ملی],emp_info[شماره بیمه],"یافت نشد")</f>
        <v>12888421</v>
      </c>
      <c r="BR41" s="116" t="str">
        <f>_xlfn.XLOOKUP(Data15272025121621[[#This Row],[کد ملی]],emp_info[کد ملی],emp_info[نام],"یافت نشد")</f>
        <v>امیر حسین</v>
      </c>
      <c r="BS41" s="116" t="str">
        <f>_xlfn.XLOOKUP(Data15272025121621[[#This Row],[کد ملی]],emp_info[کد ملی],emp_info[نام خانوادگی],"یافت نشد")</f>
        <v>نوری فروشانی</v>
      </c>
      <c r="BT41" s="116" t="str">
        <f>_xlfn.XLOOKUP(Data15272025121621[[#This Row],[کد ملی]],emp_info[کد ملی],emp_info[نام  پدر],"یافت نشد")</f>
        <v>محمد مهدی</v>
      </c>
      <c r="BU41" s="116">
        <f>_xlfn.XLOOKUP(Data15272025121621[[#This Row],[کد ملی]],emp_info[کد ملی],emp_info[شماره شناسنامه],"یافت نشد")</f>
        <v>1130448002</v>
      </c>
      <c r="BV41" s="116" t="str">
        <f>_xlfn.XLOOKUP(Data15272025121621[[#This Row],[کد ملی]],emp_info[کد ملی],emp_info[محل صدور],"یافت نشد")</f>
        <v>اصفهان</v>
      </c>
      <c r="BW41" s="116">
        <f>_xlfn.XLOOKUP(Data15272025121621[[#This Row],[کد ملی]],emp_info[کد ملی],emp_info[تاریخ صدور],"یافت نشد")</f>
        <v>0</v>
      </c>
      <c r="BX41" s="116">
        <f>_xlfn.XLOOKUP(Data15272025121621[[#This Row],[کد ملی]],emp_info[کد ملی],emp_info[تاریخ تولد],"یافت نشد")</f>
        <v>13761114</v>
      </c>
      <c r="BY41" s="116" t="str">
        <f>_xlfn.XLOOKUP(Data15272025121621[[#This Row],[کد ملی]],emp_info[کد ملی],emp_info[جنسیت],"یافت نشد")</f>
        <v>مرد</v>
      </c>
      <c r="BZ41" s="116" t="s">
        <v>122</v>
      </c>
      <c r="CA41" s="116" t="str">
        <f>_xlfn.XLOOKUP(Data15272025121621[[#This Row],[کد ملی]],emp_info[کد ملی],emp_info[سمت شغل],"یافت نشد")</f>
        <v>کمک انباردار</v>
      </c>
      <c r="CB41" s="116">
        <f>_xlfn.XLOOKUP(Data15272025121621[[#This Row],[کد ملی]],emp_info[کد ملی],emp_info[تاریخ شروع به کار],"یافت نشد")</f>
        <v>14050401</v>
      </c>
      <c r="CC41" s="118">
        <f>_xlfn.XLOOKUP(Data15272025121621[[#This Row],[کد ملی]],emp_info[کد ملی],emp_info[ [ تاریخ پایان کار] ],"یافت نشد")</f>
        <v>0</v>
      </c>
      <c r="CD41" s="118">
        <f>Data15272025121621[[#This Row],[روز بیمه]]</f>
        <v>31</v>
      </c>
      <c r="CE41" s="118">
        <f>Data15272025121621[[#This Row],[مزد روزانه ]]</f>
        <v>5867844</v>
      </c>
      <c r="CF41" s="118">
        <f>Data15272025121621[[#This Row],[حقوق پایه]]</f>
        <v>181903164</v>
      </c>
      <c r="CG41" s="118">
        <f>Data15272025121621[[#This Row],[ مزایا مشمول]]</f>
        <v>52174438</v>
      </c>
      <c r="CH41" s="118">
        <f>Data15272025121621[[#This Row],[جمع حقوق و مزایا مشمول بیمه]]</f>
        <v>234077602</v>
      </c>
      <c r="CI41" s="117">
        <f>Data15272025121621[[#This Row],[حقوق ناخالص]]</f>
        <v>278260870</v>
      </c>
      <c r="CJ41" s="117">
        <f>Data15272025121621[[#This Row],[بیمه سهم کارگر]]</f>
        <v>16385432</v>
      </c>
      <c r="CK41" s="116">
        <v>30</v>
      </c>
      <c r="CL41" s="116" t="str">
        <f>TEXT(_xlfn.XLOOKUP(Data15272025121621[[#This Row],[کد ملی]],emp_info[کد ملی],emp_info[کد شغل],"یافت نشد"),"000000")</f>
        <v>024110</v>
      </c>
      <c r="CM41" s="116">
        <f>Data15272025121621[[#This Row],[کد ملی]]</f>
        <v>1130448002</v>
      </c>
      <c r="CN41" s="116">
        <f>Data15272025121621[[#This Row],[پایه سنواتی]]*Data15272025121621[[#This Row],[تعداد سال کارکرد]]</f>
        <v>0</v>
      </c>
      <c r="CO41" s="117">
        <f>Data15272025121621[[#This Row],[حق تاهل]]</f>
        <v>0</v>
      </c>
    </row>
    <row r="42" spans="1:93" ht="24.95" customHeight="1"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4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>
        <f>SUBTOTAL(109,Data15272025121621[قابل پرداخت])</f>
        <v>19892653902</v>
      </c>
    </row>
    <row r="43" spans="1:93" ht="24.95" customHeight="1"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</row>
    <row r="44" spans="1:93" ht="24.95" customHeight="1"/>
    <row r="45" spans="1:93" ht="24.95" customHeight="1"/>
    <row r="46" spans="1:93" ht="24.95" customHeight="1"/>
    <row r="47" spans="1:93" ht="24.95" customHeight="1"/>
    <row r="48" spans="1:93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</sheetData>
  <sheetProtection formatCells="0" formatColumns="0" formatRows="0" insertRows="0" deleteRows="0" sort="0" autoFilter="0"/>
  <dataConsolidate/>
  <mergeCells count="9">
    <mergeCell ref="AO5:AS5"/>
    <mergeCell ref="AT5:AW5"/>
    <mergeCell ref="AX5:BE5"/>
    <mergeCell ref="H5:P5"/>
    <mergeCell ref="Q5:W5"/>
    <mergeCell ref="X5:Z5"/>
    <mergeCell ref="AA5:AC5"/>
    <mergeCell ref="AD5:AL5"/>
    <mergeCell ref="AM5:AN5"/>
  </mergeCells>
  <conditionalFormatting sqref="AA7:AD41">
    <cfRule type="cellIs" dxfId="369" priority="9" operator="lessThan">
      <formula>0</formula>
    </cfRule>
  </conditionalFormatting>
  <conditionalFormatting sqref="AA7:AD41">
    <cfRule type="cellIs" dxfId="368" priority="8" operator="lessThan">
      <formula>0</formula>
    </cfRule>
  </conditionalFormatting>
  <conditionalFormatting sqref="C8:E41">
    <cfRule type="cellIs" dxfId="367" priority="7" operator="equal">
      <formula>0</formula>
    </cfRule>
  </conditionalFormatting>
  <conditionalFormatting sqref="C8:E41">
    <cfRule type="cellIs" dxfId="366" priority="6" operator="equal">
      <formula>1</formula>
    </cfRule>
  </conditionalFormatting>
  <conditionalFormatting sqref="F7:F11">
    <cfRule type="duplicateValues" dxfId="365" priority="10"/>
  </conditionalFormatting>
  <conditionalFormatting sqref="F7:F41">
    <cfRule type="duplicateValues" dxfId="364" priority="14"/>
  </conditionalFormatting>
  <conditionalFormatting sqref="Z7">
    <cfRule type="cellIs" dxfId="363" priority="2" operator="lessThan">
      <formula>0</formula>
    </cfRule>
  </conditionalFormatting>
  <conditionalFormatting sqref="Z7">
    <cfRule type="cellIs" dxfId="362" priority="1" operator="lessThan">
      <formula>0</formula>
    </cfRule>
  </conditionalFormatting>
  <dataValidations count="6">
    <dataValidation type="textLength" operator="equal" allowBlank="1" showInputMessage="1" showErrorMessage="1" errorTitle="کد ملی" error="باید 10 رقم باشد" promptTitle="کد ملی" prompt="باید 10 رقم باشد" sqref="F12:F41" xr:uid="{53B30757-1CE3-4C10-A60A-55B91C3D9D13}">
      <formula1>10</formula1>
    </dataValidation>
    <dataValidation type="list" allowBlank="1" showInputMessage="1" showErrorMessage="1" error="فقط 0 و 1 مجاز است" promptTitle="بیمه" prompt="رد نشود 0_x000a_رد شود 1" sqref="D8:D41" xr:uid="{B361B402-F685-4B0D-9135-E07EB89906BC}">
      <formula1>"0,1"</formula1>
    </dataValidation>
    <dataValidation type="list" allowBlank="1" showInputMessage="1" showErrorMessage="1" error="فقط 0 و 1 مجاز است" promptTitle="مالیات" prompt=" رد نشود 0_x000a_رد شود 1" sqref="C8:C41" xr:uid="{D7235EC6-1FB2-4CE3-A836-2EFC6E6E7C7E}">
      <formula1>"0,1"</formula1>
    </dataValidation>
    <dataValidation type="list" allowBlank="1" showInputMessage="1" showErrorMessage="1" error="فقط 0 و 1 مجاز است" promptTitle="خروجی بانک" prompt="رد نشود 0_x000a_رد شود 1" sqref="E8:E41" xr:uid="{8AFB3CDD-07E2-49D7-A7BC-6E30F6A1E8B0}">
      <formula1>"0,1"</formula1>
    </dataValidation>
    <dataValidation type="textLength" operator="equal" allowBlank="1" showInputMessage="1" showErrorMessage="1" error="کد ملی باید 10 رقم باشد" prompt="کد ملی باید 10 رقم باشد" sqref="F7:F11" xr:uid="{4A2C2C67-7040-46B7-92D9-504ADA26148F}">
      <formula1>10</formula1>
    </dataValidation>
    <dataValidation type="list" allowBlank="1" showInputMessage="1" showErrorMessage="1" sqref="BL6" xr:uid="{14FFFB65-B702-4386-B425-C3BA0C8F08D0}">
      <formula1>"Data1527"</formula1>
    </dataValidation>
  </dataValidations>
  <printOptions horizontalCentered="1" verticalCentered="1"/>
  <pageMargins left="0.25" right="0.25" top="0.75" bottom="0.75" header="0.3" footer="0.3"/>
  <pageSetup paperSize="9" scale="1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ExportWP.ExportWP" altText="فایل WP _x000a_">
                <anchor>
                  <from>
                    <xdr:col>0</xdr:col>
                    <xdr:colOff>66675</xdr:colOff>
                    <xdr:row>0</xdr:row>
                    <xdr:rowOff>28575</xdr:rowOff>
                  </from>
                  <to>
                    <xdr:col>2</xdr:col>
                    <xdr:colOff>66675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ExportWH.ExportWH" altText="ایجاد فایل WH_x000a_">
                <anchor>
                  <from>
                    <xdr:col>0</xdr:col>
                    <xdr:colOff>66675</xdr:colOff>
                    <xdr:row>0</xdr:row>
                    <xdr:rowOff>285750</xdr:rowOff>
                  </from>
                  <to>
                    <xdr:col>2</xdr:col>
                    <xdr:colOff>66675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ExportDSKKAR_WriteBinaryDBF">
                <anchor>
                  <from>
                    <xdr:col>2</xdr:col>
                    <xdr:colOff>238125</xdr:colOff>
                    <xdr:row>0</xdr:row>
                    <xdr:rowOff>304800</xdr:rowOff>
                  </from>
                  <to>
                    <xdr:col>5</xdr:col>
                    <xdr:colOff>38100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ExportDSKWOR_WriteBinaryDBF">
                <anchor>
                  <from>
                    <xdr:col>2</xdr:col>
                    <xdr:colOff>247650</xdr:colOff>
                    <xdr:row>0</xdr:row>
                    <xdr:rowOff>28575</xdr:rowOff>
                  </from>
                  <to>
                    <xdr:col>5</xdr:col>
                    <xdr:colOff>47625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infoCheck">
              <controlPr defaultSize="0" autoFill="0" autoLine="0" autoPict="0" macro="[0]!hide_info" altText="اطلاعات">
                <anchor>
                  <from>
                    <xdr:col>2</xdr:col>
                    <xdr:colOff>228600</xdr:colOff>
                    <xdr:row>1</xdr:row>
                    <xdr:rowOff>257175</xdr:rowOff>
                  </from>
                  <to>
                    <xdr:col>5</xdr:col>
                    <xdr:colOff>28575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CreateBankMeli" altText="ایجاد فایل WH_x000a_">
                <anchor>
                  <from>
                    <xdr:col>0</xdr:col>
                    <xdr:colOff>57150</xdr:colOff>
                    <xdr:row>1</xdr:row>
                    <xdr:rowOff>238125</xdr:rowOff>
                  </from>
                  <to>
                    <xdr:col>2</xdr:col>
                    <xdr:colOff>57150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infoCheck">
              <controlPr defaultSize="0" autoFill="0" autoLine="0" autoPict="0" macro="[0]!hide_karkard" altText="اطلاعات">
                <anchor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47625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infoCheck">
              <controlPr defaultSize="0" autoFill="0" autoLine="0" autoPict="0" macro="[0]!hide_jam_bimeh" altText="اطلاعات">
                <anchor>
                  <from>
                    <xdr:col>5</xdr:col>
                    <xdr:colOff>228600</xdr:colOff>
                    <xdr:row>1</xdr:row>
                    <xdr:rowOff>266700</xdr:rowOff>
                  </from>
                  <to>
                    <xdr:col>6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infoCheck">
              <controlPr defaultSize="0" autoFill="0" autoLine="0" autoPict="0" macro="[0]!hide_mazaya" altText="اطلاعات">
                <anchor>
                  <from>
                    <xdr:col>5</xdr:col>
                    <xdr:colOff>238125</xdr:colOff>
                    <xdr:row>1</xdr:row>
                    <xdr:rowOff>0</xdr:rowOff>
                  </from>
                  <to>
                    <xdr:col>6</xdr:col>
                    <xdr:colOff>38100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ExportspecificColumns" altText="ایجاد فایل WH_x000a_">
                <anchor>
                  <from>
                    <xdr:col>0</xdr:col>
                    <xdr:colOff>85725</xdr:colOff>
                    <xdr:row>2</xdr:row>
                    <xdr:rowOff>171450</xdr:rowOff>
                  </from>
                  <to>
                    <xdr:col>2</xdr:col>
                    <xdr:colOff>85725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4">
    <tablePart r:id="rId14"/>
    <tablePart r:id="rId15"/>
    <tablePart r:id="rId16"/>
    <tablePart r:id="rId1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Settings</vt:lpstr>
      <vt:lpstr>Emp_info</vt:lpstr>
      <vt:lpstr>تیر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aarmaani</dc:creator>
  <cp:lastModifiedBy>Enayat Taghavi</cp:lastModifiedBy>
  <cp:lastPrinted>2024-11-24T07:13:19Z</cp:lastPrinted>
  <dcterms:created xsi:type="dcterms:W3CDTF">2024-10-09T14:55:52Z</dcterms:created>
  <dcterms:modified xsi:type="dcterms:W3CDTF">2026-08-24T02:01:39Z</dcterms:modified>
</cp:coreProperties>
</file>